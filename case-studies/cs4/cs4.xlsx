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derekchui/Documents/Programming/Personal/Projects/Football Analytics/case-studies/cs4/"/>
    </mc:Choice>
  </mc:AlternateContent>
  <xr:revisionPtr revIDLastSave="0" documentId="13_ncr:1_{8B4493DD-9620-DE4C-84E3-5DC99E34A80A}" xr6:coauthVersionLast="47" xr6:coauthVersionMax="47" xr10:uidLastSave="{00000000-0000-0000-0000-000000000000}"/>
  <bookViews>
    <workbookView xWindow="17280" yWindow="500" windowWidth="23940" windowHeight="17820" activeTab="4" xr2:uid="{00000000-000D-0000-FFFF-FFFF00000000}"/>
  </bookViews>
  <sheets>
    <sheet name="Sheet 1" sheetId="1" r:id="rId1"/>
    <sheet name="Fer Lopez" sheetId="5" r:id="rId2"/>
    <sheet name="Joao Gomes" sheetId="3" r:id="rId3"/>
    <sheet name="Hackney" sheetId="2" r:id="rId4"/>
    <sheet name="Barkley" sheetId="4" r:id="rId5"/>
    <sheet name="Bellegarde" sheetId="6" r:id="rId6"/>
    <sheet name="Andre" sheetId="7" r:id="rId7"/>
    <sheet name="Tommy Doyle" sheetId="8" r:id="rId8"/>
    <sheet name="Krejci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" i="1" l="1"/>
  <c r="C70" i="1"/>
  <c r="B91" i="1"/>
  <c r="C98" i="1"/>
  <c r="C18" i="1"/>
  <c r="C16" i="1"/>
  <c r="B40" i="1"/>
  <c r="B83" i="1"/>
  <c r="B120" i="1"/>
  <c r="B98" i="1"/>
  <c r="C67" i="1"/>
  <c r="C13" i="1"/>
  <c r="B84" i="1"/>
  <c r="B61" i="1"/>
  <c r="C113" i="1"/>
  <c r="B57" i="1"/>
  <c r="B67" i="1"/>
  <c r="C51" i="1"/>
  <c r="C80" i="1"/>
  <c r="B25" i="1"/>
  <c r="B75" i="1"/>
  <c r="C92" i="1"/>
  <c r="C74" i="1"/>
  <c r="C46" i="1"/>
  <c r="B65" i="1"/>
  <c r="C114" i="1"/>
  <c r="C60" i="1"/>
  <c r="B55" i="1"/>
  <c r="C111" i="1"/>
  <c r="C91" i="1"/>
  <c r="C24" i="1"/>
  <c r="C6" i="1"/>
  <c r="C53" i="1"/>
  <c r="B16" i="1"/>
  <c r="B64" i="1"/>
  <c r="C104" i="1"/>
  <c r="B10" i="1"/>
  <c r="B30" i="1"/>
  <c r="B33" i="1"/>
  <c r="C89" i="1"/>
  <c r="B15" i="1"/>
  <c r="C100" i="1"/>
  <c r="B12" i="1"/>
  <c r="C56" i="1"/>
  <c r="B53" i="1"/>
  <c r="B18" i="1"/>
  <c r="B49" i="1"/>
  <c r="B50" i="1"/>
  <c r="B117" i="1"/>
  <c r="C119" i="1"/>
  <c r="C75" i="1"/>
  <c r="C33" i="1"/>
  <c r="B111" i="1"/>
  <c r="C71" i="1"/>
  <c r="C107" i="1"/>
  <c r="C29" i="1"/>
  <c r="B101" i="1"/>
  <c r="C8" i="1"/>
  <c r="C97" i="1"/>
  <c r="B60" i="1"/>
  <c r="C28" i="1"/>
  <c r="B68" i="1"/>
  <c r="C105" i="1"/>
  <c r="B19" i="1"/>
  <c r="C43" i="1"/>
  <c r="C95" i="1"/>
  <c r="B37" i="1"/>
  <c r="C31" i="1"/>
  <c r="C88" i="1"/>
  <c r="B27" i="1"/>
  <c r="C36" i="1"/>
  <c r="B45" i="1"/>
  <c r="B11" i="1"/>
  <c r="C87" i="1"/>
  <c r="C25" i="1"/>
  <c r="C90" i="1"/>
  <c r="C22" i="1"/>
  <c r="B38" i="1"/>
  <c r="B108" i="1"/>
  <c r="B113" i="1"/>
  <c r="C26" i="1"/>
  <c r="C76" i="1"/>
  <c r="B26" i="1"/>
  <c r="C109" i="1"/>
  <c r="C103" i="1"/>
  <c r="C32" i="1"/>
  <c r="C115" i="1"/>
  <c r="B79" i="1"/>
  <c r="B48" i="1"/>
  <c r="B74" i="1"/>
  <c r="C47" i="1"/>
  <c r="B115" i="1"/>
  <c r="B59" i="1"/>
  <c r="B58" i="1"/>
  <c r="B5" i="1"/>
  <c r="B106" i="1"/>
  <c r="C108" i="1"/>
  <c r="C5" i="1"/>
  <c r="B42" i="1"/>
  <c r="B29" i="1"/>
  <c r="C44" i="1"/>
  <c r="B35" i="1"/>
  <c r="C21" i="1"/>
  <c r="C54" i="1"/>
  <c r="B28" i="1"/>
  <c r="B80" i="1"/>
  <c r="C50" i="1"/>
  <c r="C23" i="1"/>
  <c r="C94" i="1"/>
  <c r="B87" i="1"/>
  <c r="B69" i="1"/>
  <c r="B47" i="1"/>
  <c r="C78" i="1"/>
  <c r="B118" i="1"/>
  <c r="C83" i="1"/>
  <c r="C30" i="1"/>
  <c r="C63" i="1"/>
  <c r="C85" i="1"/>
  <c r="B73" i="1"/>
  <c r="B85" i="1"/>
  <c r="C7" i="1"/>
  <c r="B22" i="1"/>
  <c r="B7" i="1"/>
  <c r="B89" i="1"/>
  <c r="C17" i="1"/>
  <c r="B34" i="1"/>
  <c r="B109" i="1"/>
  <c r="C82" i="1"/>
  <c r="C10" i="1"/>
  <c r="C15" i="1"/>
  <c r="B24" i="1"/>
  <c r="B97" i="1"/>
  <c r="B20" i="1"/>
  <c r="B21" i="1"/>
  <c r="B95" i="1"/>
  <c r="B92" i="1"/>
  <c r="C45" i="1"/>
  <c r="B110" i="1"/>
  <c r="B76" i="1"/>
  <c r="C40" i="1"/>
  <c r="B121" i="1"/>
  <c r="B82" i="1"/>
  <c r="B70" i="1"/>
  <c r="B88" i="1"/>
  <c r="C79" i="1"/>
  <c r="B107" i="1"/>
  <c r="B103" i="1"/>
  <c r="B94" i="1"/>
  <c r="C117" i="1"/>
  <c r="C84" i="1"/>
  <c r="B63" i="1"/>
  <c r="B9" i="1"/>
  <c r="B8" i="1"/>
  <c r="C39" i="1"/>
  <c r="C93" i="1"/>
  <c r="C66" i="1"/>
  <c r="B72" i="1"/>
  <c r="B105" i="1"/>
  <c r="B93" i="1"/>
  <c r="C34" i="1"/>
  <c r="C120" i="1"/>
  <c r="C101" i="1"/>
  <c r="B17" i="1"/>
  <c r="C68" i="1"/>
  <c r="C106" i="1"/>
  <c r="B100" i="1"/>
  <c r="B62" i="1"/>
  <c r="C20" i="1"/>
  <c r="C116" i="1"/>
  <c r="C99" i="1"/>
  <c r="B112" i="1"/>
  <c r="B99" i="1"/>
  <c r="C41" i="1"/>
  <c r="B31" i="1"/>
  <c r="B56" i="1"/>
  <c r="C12" i="1"/>
  <c r="C59" i="1"/>
  <c r="B51" i="1"/>
  <c r="C72" i="1"/>
  <c r="B44" i="1"/>
  <c r="B78" i="1"/>
  <c r="C55" i="1"/>
  <c r="B102" i="1"/>
  <c r="C62" i="1"/>
  <c r="C35" i="1"/>
  <c r="B114" i="1"/>
  <c r="C58" i="1"/>
  <c r="B90" i="1"/>
  <c r="B54" i="1"/>
  <c r="C52" i="1"/>
  <c r="C11" i="1"/>
  <c r="C14" i="1"/>
  <c r="C38" i="1"/>
  <c r="B39" i="1"/>
  <c r="B36" i="1"/>
  <c r="B104" i="1"/>
  <c r="B32" i="1"/>
  <c r="B43" i="1"/>
  <c r="C9" i="1"/>
  <c r="C86" i="1"/>
  <c r="B86" i="1"/>
  <c r="C81" i="1"/>
  <c r="C102" i="1"/>
  <c r="B96" i="1"/>
  <c r="B23" i="1"/>
  <c r="C49" i="1"/>
  <c r="C118" i="1"/>
  <c r="B52" i="1"/>
  <c r="B71" i="1"/>
  <c r="B66" i="1"/>
  <c r="C57" i="1"/>
  <c r="B14" i="1"/>
  <c r="B41" i="1"/>
  <c r="C19" i="1"/>
  <c r="C61" i="1"/>
  <c r="B116" i="1"/>
  <c r="C65" i="1"/>
  <c r="C96" i="1"/>
  <c r="C69" i="1"/>
  <c r="B6" i="1"/>
  <c r="C110" i="1"/>
  <c r="C112" i="1"/>
  <c r="C42" i="1"/>
  <c r="B119" i="1"/>
  <c r="C64" i="1"/>
  <c r="C27" i="1"/>
  <c r="C73" i="1"/>
  <c r="B77" i="1"/>
  <c r="B13" i="1"/>
  <c r="C37" i="1"/>
  <c r="C77" i="1"/>
  <c r="C48" i="1"/>
  <c r="B46" i="1"/>
  <c r="B81" i="1"/>
</calcChain>
</file>

<file path=xl/sharedStrings.xml><?xml version="1.0" encoding="utf-8"?>
<sst xmlns="http://schemas.openxmlformats.org/spreadsheetml/2006/main" count="1448" uniqueCount="131">
  <si>
    <t>Player Sheet Name</t>
  </si>
  <si>
    <t>Stat</t>
  </si>
  <si>
    <t>Per90</t>
  </si>
  <si>
    <t>Percentile</t>
  </si>
  <si>
    <t>Goals</t>
  </si>
  <si>
    <t>Assists</t>
  </si>
  <si>
    <t>Goals + Assists</t>
  </si>
  <si>
    <t>Non-Penalty Goals</t>
  </si>
  <si>
    <t>Penalty Kicks Made</t>
  </si>
  <si>
    <t>Penalty Kicks Attempted</t>
  </si>
  <si>
    <t>Yellow Cards</t>
  </si>
  <si>
    <t>Red Cards</t>
  </si>
  <si>
    <t>xG: Expected Goals</t>
  </si>
  <si>
    <t>npxG: Non-Penalty xG</t>
  </si>
  <si>
    <t>xAG: Exp. Assisted Goals</t>
  </si>
  <si>
    <t>npxG + xAG</t>
  </si>
  <si>
    <t>Progressive Carries</t>
  </si>
  <si>
    <t>Progressive Passes</t>
  </si>
  <si>
    <t>Progressive Passes Rec</t>
  </si>
  <si>
    <t>Shots Total</t>
  </si>
  <si>
    <t>Shots on Target</t>
  </si>
  <si>
    <t>Shots on Target %</t>
  </si>
  <si>
    <t>Goals/Shot</t>
  </si>
  <si>
    <t>Goals/Shot on Target</t>
  </si>
  <si>
    <t>Average Shot Distance</t>
  </si>
  <si>
    <t>Shots from Free Kicks</t>
  </si>
  <si>
    <t>npxG/Shot</t>
  </si>
  <si>
    <t>Goals - xG</t>
  </si>
  <si>
    <t>Non-Penalty Goals - npxG</t>
  </si>
  <si>
    <t>Passes Completed</t>
  </si>
  <si>
    <t>Passes Attempted</t>
  </si>
  <si>
    <t>Pass Completion %</t>
  </si>
  <si>
    <t>Total Passing Distance</t>
  </si>
  <si>
    <t>Progressive Passing Distance</t>
  </si>
  <si>
    <t>Passes Completed (Short)</t>
  </si>
  <si>
    <t>Passes Attempted (Short)</t>
  </si>
  <si>
    <t>Pass Completion % (Short)</t>
  </si>
  <si>
    <t>Passes Completed (Medium)</t>
  </si>
  <si>
    <t>Passes Attempted (Medium)</t>
  </si>
  <si>
    <t>Pass Completion % (Medium)</t>
  </si>
  <si>
    <t>Passes Completed (Long)</t>
  </si>
  <si>
    <t>Passes Attempted (Long)</t>
  </si>
  <si>
    <t>Pass Completion % (Long)</t>
  </si>
  <si>
    <t>xA: Expected Assists</t>
  </si>
  <si>
    <t>Key Passes</t>
  </si>
  <si>
    <t>Passes into Final Third</t>
  </si>
  <si>
    <t>Passes into Penalty Area</t>
  </si>
  <si>
    <t>Crosses into Penalty Area</t>
  </si>
  <si>
    <t>Live-ball Passes</t>
  </si>
  <si>
    <t>Dead-ball Passes</t>
  </si>
  <si>
    <t>Passes from Free Kicks</t>
  </si>
  <si>
    <t>Through Balls</t>
  </si>
  <si>
    <t>Switches</t>
  </si>
  <si>
    <t>Crosses</t>
  </si>
  <si>
    <t>Throw-ins Taken</t>
  </si>
  <si>
    <t>Corner Kicks</t>
  </si>
  <si>
    <t>Inswinging Corner Kicks</t>
  </si>
  <si>
    <t>Outswinging Corner Kicks</t>
  </si>
  <si>
    <t>Straight Corner Kicks</t>
  </si>
  <si>
    <t>Passes Offside</t>
  </si>
  <si>
    <t>Passes Blocked</t>
  </si>
  <si>
    <t>Shot-Creating Actions</t>
  </si>
  <si>
    <t>SCA (Live-ball Pass)</t>
  </si>
  <si>
    <t>SCA (Dead-ball Pass)</t>
  </si>
  <si>
    <t>SCA (Take-On)</t>
  </si>
  <si>
    <t>SCA (Shot)</t>
  </si>
  <si>
    <t>SCA (Fouls Drawn)</t>
  </si>
  <si>
    <t>SCA (Defensive Action)</t>
  </si>
  <si>
    <t>Goal-Creating Actions</t>
  </si>
  <si>
    <t>GCA (Live-ball Pass)</t>
  </si>
  <si>
    <t>GCA (Dead-ball Pass)</t>
  </si>
  <si>
    <t>GCA (Take-On)</t>
  </si>
  <si>
    <t>GCA (Shot)</t>
  </si>
  <si>
    <t>GCA (Fouls Drawn)</t>
  </si>
  <si>
    <t>GCA (Defensive Action)</t>
  </si>
  <si>
    <t>Tackles</t>
  </si>
  <si>
    <t>Tackles Won</t>
  </si>
  <si>
    <t>Tackles (Def 3rd)</t>
  </si>
  <si>
    <t>Tackles (Mid 3rd)</t>
  </si>
  <si>
    <t>Tackles (Att 3rd)</t>
  </si>
  <si>
    <t>Dribblers Tackled</t>
  </si>
  <si>
    <t>Dribbles Challenged</t>
  </si>
  <si>
    <t>% of Dribblers Tackled</t>
  </si>
  <si>
    <t>Challenges Lost</t>
  </si>
  <si>
    <t>Blocks</t>
  </si>
  <si>
    <t>Shots Blocked</t>
  </si>
  <si>
    <t>Interceptions</t>
  </si>
  <si>
    <t>Tkl+Int</t>
  </si>
  <si>
    <t>Clearances</t>
  </si>
  <si>
    <t>Errors</t>
  </si>
  <si>
    <t>Touches</t>
  </si>
  <si>
    <t>Touches (Def Pen)</t>
  </si>
  <si>
    <t>Touches (Def 3rd)</t>
  </si>
  <si>
    <t>Touches (Mid 3rd)</t>
  </si>
  <si>
    <t>Touches (Att 3rd)</t>
  </si>
  <si>
    <t>Touches (Att Pen)</t>
  </si>
  <si>
    <t>Touches (Live-Ball)</t>
  </si>
  <si>
    <t>Take-Ons Attempted</t>
  </si>
  <si>
    <t>Successful Take-Ons</t>
  </si>
  <si>
    <t>Successful Take-On %</t>
  </si>
  <si>
    <t>Times Tackled During Take-On</t>
  </si>
  <si>
    <t>Tackled During Take-On Percentage</t>
  </si>
  <si>
    <t>Carries</t>
  </si>
  <si>
    <t>Total Carrying Distance</t>
  </si>
  <si>
    <t>Progressive Carrying Distance</t>
  </si>
  <si>
    <t>Carries into Final Third</t>
  </si>
  <si>
    <t>Carries into Penalty Area</t>
  </si>
  <si>
    <t>Miscontrols</t>
  </si>
  <si>
    <t>Dispossessed</t>
  </si>
  <si>
    <t>Passes Received</t>
  </si>
  <si>
    <t>Second Yellow Card</t>
  </si>
  <si>
    <t>Fouls Committed</t>
  </si>
  <si>
    <t>Fouls Drawn</t>
  </si>
  <si>
    <t>Offsides</t>
  </si>
  <si>
    <t>Penalty Kicks Won</t>
  </si>
  <si>
    <t>Penalty Kicks Conceded</t>
  </si>
  <si>
    <t>Own Goals</t>
  </si>
  <si>
    <t>Ball Recoveries</t>
  </si>
  <si>
    <t>Aerials Won</t>
  </si>
  <si>
    <t>Aerials Lost</t>
  </si>
  <si>
    <t>% of Aerials Won</t>
  </si>
  <si>
    <t>Statistic</t>
  </si>
  <si>
    <t>Per 90</t>
  </si>
  <si>
    <t>Shooting</t>
  </si>
  <si>
    <t>Passing</t>
  </si>
  <si>
    <t>Pass Types</t>
  </si>
  <si>
    <t>Goal and Shot Creation</t>
  </si>
  <si>
    <t>Defense</t>
  </si>
  <si>
    <t>Possession</t>
  </si>
  <si>
    <t>Miscellaneous Stats</t>
  </si>
  <si>
    <t>Hayden Hackney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</si>
</sst>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9.4"/>
      <color rgb="FF990000"/>
      <name val="Verdana"/>
      <family val="2"/>
    </font>
    <font>
      <sz val="9.4"/>
      <color rgb="FF000000"/>
      <name val="Verdana"/>
      <family val="2"/>
    </font>
    <font>
      <sz val="9.4"/>
      <color rgb="FF990000"/>
      <name val="Verdana"/>
      <family val="2"/>
    </font>
    <font>
      <sz val="9.4"/>
      <color rgb="FF525456"/>
      <name val="Verdana"/>
      <family val="2"/>
    </font>
    <font>
      <b/>
      <sz val="9.4"/>
      <color rgb="FF000000"/>
      <name val="Verdana"/>
      <family val="2"/>
    </font>
    <font>
      <b/>
      <sz val="9.4"/>
      <color rgb="FFEE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0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1"/>
  <sheetViews>
    <sheetView workbookViewId="0">
      <selection activeCell="J15" sqref="J15"/>
    </sheetView>
  </sheetViews>
  <sheetFormatPr baseColWidth="10" defaultRowHeight="16" x14ac:dyDescent="0.2"/>
  <cols>
    <col min="1" max="1" width="25.5" customWidth="1"/>
  </cols>
  <sheetData>
    <row r="1" spans="1:3" x14ac:dyDescent="0.2">
      <c r="A1" t="s">
        <v>0</v>
      </c>
    </row>
    <row r="2" spans="1:3" x14ac:dyDescent="0.2">
      <c r="A2" t="s">
        <v>130</v>
      </c>
    </row>
    <row r="4" spans="1:3" x14ac:dyDescent="0.2">
      <c r="A4" t="s">
        <v>1</v>
      </c>
      <c r="B4" t="s">
        <v>2</v>
      </c>
      <c r="C4" t="s">
        <v>3</v>
      </c>
    </row>
    <row r="5" spans="1:3" x14ac:dyDescent="0.2">
      <c r="A5" t="s">
        <v>4</v>
      </c>
      <c r="B5" t="str">
        <f ca="1">IFERROR(INDIRECT("'" &amp; SUBSTITUTE($A$2,"'","''") &amp; "'!B2"), "")</f>
        <v/>
      </c>
      <c r="C5" t="str">
        <f ca="1">IFERROR(INDIRECT("'" &amp; SUBSTITUTE($A$2,"'","''") &amp; "'!C2"), "")</f>
        <v/>
      </c>
    </row>
    <row r="6" spans="1:3" x14ac:dyDescent="0.2">
      <c r="A6" t="s">
        <v>5</v>
      </c>
      <c r="B6" t="str">
        <f ca="1">IFERROR(INDIRECT("'" &amp; SUBSTITUTE($A$2,"'","''") &amp; "'!B5"), "")</f>
        <v/>
      </c>
      <c r="C6" t="str">
        <f ca="1">IFERROR(INDIRECT("'" &amp; SUBSTITUTE($A$2,"'","''") &amp; "'!C5"), "")</f>
        <v/>
      </c>
    </row>
    <row r="7" spans="1:3" x14ac:dyDescent="0.2">
      <c r="A7" t="s">
        <v>6</v>
      </c>
      <c r="B7" t="str">
        <f ca="1">IFERROR(INDIRECT("'" &amp; SUBSTITUTE($A$2,"'","''") &amp; "'!B8"), "")</f>
        <v/>
      </c>
      <c r="C7" t="str">
        <f ca="1">IFERROR(INDIRECT("'" &amp; SUBSTITUTE($A$2,"'","''") &amp; "'!C8"), "")</f>
        <v/>
      </c>
    </row>
    <row r="8" spans="1:3" x14ac:dyDescent="0.2">
      <c r="A8" t="s">
        <v>7</v>
      </c>
      <c r="B8" t="str">
        <f ca="1">IFERROR(INDIRECT("'" &amp; SUBSTITUTE($A$2,"'","''") &amp; "'!B11"), "")</f>
        <v/>
      </c>
      <c r="C8" t="str">
        <f ca="1">IFERROR(INDIRECT("'" &amp; SUBSTITUTE($A$2,"'","''") &amp; "'!C11"), "")</f>
        <v/>
      </c>
    </row>
    <row r="9" spans="1:3" x14ac:dyDescent="0.2">
      <c r="A9" t="s">
        <v>8</v>
      </c>
      <c r="B9" t="str">
        <f ca="1">IFERROR(INDIRECT("'" &amp; SUBSTITUTE($A$2,"'","''") &amp; "'!B14"), "")</f>
        <v/>
      </c>
      <c r="C9" t="str">
        <f ca="1">IFERROR(INDIRECT("'" &amp; SUBSTITUTE($A$2,"'","''") &amp; "'!C14"), "")</f>
        <v/>
      </c>
    </row>
    <row r="10" spans="1:3" x14ac:dyDescent="0.2">
      <c r="A10" t="s">
        <v>9</v>
      </c>
      <c r="B10" t="str">
        <f ca="1">IFERROR(INDIRECT("'" &amp; SUBSTITUTE($A$2,"'","''") &amp; "'!B17"), "")</f>
        <v/>
      </c>
      <c r="C10" t="str">
        <f ca="1">IFERROR(INDIRECT("'" &amp; SUBSTITUTE($A$2,"'","''") &amp; "'!C17"), "")</f>
        <v/>
      </c>
    </row>
    <row r="11" spans="1:3" x14ac:dyDescent="0.2">
      <c r="A11" t="s">
        <v>10</v>
      </c>
      <c r="B11" t="str">
        <f ca="1">IFERROR(INDIRECT("'" &amp; SUBSTITUTE($A$2,"'","''") &amp; "'!B20"), "")</f>
        <v/>
      </c>
      <c r="C11" t="str">
        <f ca="1">IFERROR(INDIRECT("'" &amp; SUBSTITUTE($A$2,"'","''") &amp; "'!C20"), "")</f>
        <v/>
      </c>
    </row>
    <row r="12" spans="1:3" x14ac:dyDescent="0.2">
      <c r="A12" t="s">
        <v>11</v>
      </c>
      <c r="B12" t="str">
        <f ca="1">IFERROR(INDIRECT("'" &amp; SUBSTITUTE($A$2,"'","''") &amp; "'!B23"), "")</f>
        <v/>
      </c>
      <c r="C12" t="str">
        <f ca="1">IFERROR(INDIRECT("'" &amp; SUBSTITUTE($A$2,"'","''") &amp; "'!C23"), "")</f>
        <v/>
      </c>
    </row>
    <row r="13" spans="1:3" x14ac:dyDescent="0.2">
      <c r="A13" t="s">
        <v>12</v>
      </c>
      <c r="B13" t="str">
        <f ca="1">IFERROR(INDIRECT("'" &amp; SUBSTITUTE($A$2,"'","''") &amp; "'!B26"), "")</f>
        <v/>
      </c>
      <c r="C13" t="str">
        <f ca="1">IFERROR(INDIRECT("'" &amp; SUBSTITUTE($A$2,"'","''") &amp; "'!C26"), "")</f>
        <v/>
      </c>
    </row>
    <row r="14" spans="1:3" x14ac:dyDescent="0.2">
      <c r="A14" t="s">
        <v>13</v>
      </c>
      <c r="B14" t="str">
        <f ca="1">IFERROR(INDIRECT("'" &amp; SUBSTITUTE($A$2,"'","''") &amp; "'!B29"), "")</f>
        <v/>
      </c>
      <c r="C14" t="str">
        <f ca="1">IFERROR(INDIRECT("'" &amp; SUBSTITUTE($A$2,"'","''") &amp; "'!C29"), "")</f>
        <v/>
      </c>
    </row>
    <row r="15" spans="1:3" x14ac:dyDescent="0.2">
      <c r="A15" t="s">
        <v>14</v>
      </c>
      <c r="B15" t="str">
        <f ca="1">IFERROR(INDIRECT("'" &amp; SUBSTITUTE($A$2,"'","''") &amp; "'!B32"), "")</f>
        <v/>
      </c>
      <c r="C15" t="str">
        <f ca="1">IFERROR(INDIRECT("'" &amp; SUBSTITUTE($A$2,"'","''") &amp; "'!C32"), "")</f>
        <v/>
      </c>
    </row>
    <row r="16" spans="1:3" x14ac:dyDescent="0.2">
      <c r="A16" t="s">
        <v>15</v>
      </c>
      <c r="B16" t="str">
        <f ca="1">IFERROR(INDIRECT("'" &amp; SUBSTITUTE($A$2,"'","''") &amp; "'!B35"), "")</f>
        <v/>
      </c>
      <c r="C16" t="str">
        <f ca="1">IFERROR(INDIRECT("'" &amp; SUBSTITUTE($A$2,"'","''") &amp; "'!C35"), "")</f>
        <v/>
      </c>
    </row>
    <row r="17" spans="1:3" x14ac:dyDescent="0.2">
      <c r="A17" t="s">
        <v>16</v>
      </c>
      <c r="B17" t="str">
        <f ca="1">IFERROR(INDIRECT("'" &amp; SUBSTITUTE($A$2,"'","''") &amp; "'!B39"), "")</f>
        <v/>
      </c>
      <c r="C17" t="str">
        <f ca="1">IFERROR(INDIRECT("'" &amp; SUBSTITUTE($A$2,"'","''") &amp; "'!C39"), "")</f>
        <v/>
      </c>
    </row>
    <row r="18" spans="1:3" x14ac:dyDescent="0.2">
      <c r="A18" t="s">
        <v>17</v>
      </c>
      <c r="B18" t="str">
        <f ca="1">IFERROR(INDIRECT("'" &amp; SUBSTITUTE($A$2,"'","''") &amp; "'!B42"), "")</f>
        <v/>
      </c>
      <c r="C18" t="str">
        <f ca="1">IFERROR(INDIRECT("'" &amp; SUBSTITUTE($A$2,"'","''") &amp; "'!C42"), "")</f>
        <v/>
      </c>
    </row>
    <row r="19" spans="1:3" x14ac:dyDescent="0.2">
      <c r="A19" t="s">
        <v>18</v>
      </c>
      <c r="B19" t="str">
        <f ca="1">IFERROR(INDIRECT("'" &amp; SUBSTITUTE($A$2,"'","''") &amp; "'!B45"), "")</f>
        <v/>
      </c>
      <c r="C19" t="str">
        <f ca="1">IFERROR(INDIRECT("'" &amp; SUBSTITUTE($A$2,"'","''") &amp; "'!C45"), "")</f>
        <v/>
      </c>
    </row>
    <row r="20" spans="1:3" x14ac:dyDescent="0.2">
      <c r="A20" t="s">
        <v>19</v>
      </c>
      <c r="B20" t="str">
        <f ca="1">IFERROR(INDIRECT("'" &amp; SUBSTITUTE($A$2,"'","''") &amp; "'!B53"), "")</f>
        <v/>
      </c>
      <c r="C20" t="str">
        <f ca="1">IFERROR(INDIRECT("'" &amp; SUBSTITUTE($A$2,"'","''") &amp; "'!C53"), "")</f>
        <v/>
      </c>
    </row>
    <row r="21" spans="1:3" x14ac:dyDescent="0.2">
      <c r="A21" t="s">
        <v>20</v>
      </c>
      <c r="B21" t="str">
        <f ca="1">IFERROR(INDIRECT("'" &amp; SUBSTITUTE($A$2,"'","''") &amp; "'!B56"), "")</f>
        <v/>
      </c>
      <c r="C21" t="str">
        <f ca="1">IFERROR(INDIRECT("'" &amp; SUBSTITUTE($A$2,"'","''") &amp; "'!C56"), "")</f>
        <v/>
      </c>
    </row>
    <row r="22" spans="1:3" x14ac:dyDescent="0.2">
      <c r="A22" t="s">
        <v>21</v>
      </c>
      <c r="B22" t="str">
        <f ca="1">IFERROR(INDIRECT("'" &amp; SUBSTITUTE($A$2,"'","''") &amp; "'!B59"), "")</f>
        <v/>
      </c>
      <c r="C22" t="str">
        <f ca="1">IFERROR(INDIRECT("'" &amp; SUBSTITUTE($A$2,"'","''") &amp; "'!C59"), "")</f>
        <v/>
      </c>
    </row>
    <row r="23" spans="1:3" x14ac:dyDescent="0.2">
      <c r="A23" t="s">
        <v>22</v>
      </c>
      <c r="B23" t="str">
        <f ca="1">IFERROR(INDIRECT("'" &amp; SUBSTITUTE($A$2,"'","''") &amp; "'!B62"), "")</f>
        <v/>
      </c>
      <c r="C23" t="str">
        <f ca="1">IFERROR(INDIRECT("'" &amp; SUBSTITUTE($A$2,"'","''") &amp; "'!C62"), "")</f>
        <v/>
      </c>
    </row>
    <row r="24" spans="1:3" x14ac:dyDescent="0.2">
      <c r="A24" t="s">
        <v>23</v>
      </c>
      <c r="B24" t="str">
        <f ca="1">IFERROR(INDIRECT("'" &amp; SUBSTITUTE($A$2,"'","''") &amp; "'!B65"), "")</f>
        <v/>
      </c>
      <c r="C24" t="str">
        <f ca="1">IFERROR(INDIRECT("'" &amp; SUBSTITUTE($A$2,"'","''") &amp; "'!C65"), "")</f>
        <v/>
      </c>
    </row>
    <row r="25" spans="1:3" x14ac:dyDescent="0.2">
      <c r="A25" t="s">
        <v>24</v>
      </c>
      <c r="B25" t="str">
        <f ca="1">IFERROR(INDIRECT("'" &amp; SUBSTITUTE($A$2,"'","''") &amp; "'!B68"), "")</f>
        <v/>
      </c>
      <c r="C25" t="str">
        <f ca="1">IFERROR(INDIRECT("'" &amp; SUBSTITUTE($A$2,"'","''") &amp; "'!C68"), "")</f>
        <v/>
      </c>
    </row>
    <row r="26" spans="1:3" x14ac:dyDescent="0.2">
      <c r="A26" t="s">
        <v>25</v>
      </c>
      <c r="B26" t="str">
        <f ca="1">IFERROR(INDIRECT("'" &amp; SUBSTITUTE($A$2,"'","''") &amp; "'!B71"), "")</f>
        <v/>
      </c>
      <c r="C26" t="str">
        <f ca="1">IFERROR(INDIRECT("'" &amp; SUBSTITUTE($A$2,"'","''") &amp; "'!C71"), "")</f>
        <v/>
      </c>
    </row>
    <row r="27" spans="1:3" x14ac:dyDescent="0.2">
      <c r="A27" t="s">
        <v>26</v>
      </c>
      <c r="B27" t="str">
        <f ca="1">IFERROR(INDIRECT("'" &amp; SUBSTITUTE($A$2,"'","''") &amp; "'!B87"), "")</f>
        <v/>
      </c>
      <c r="C27" t="str">
        <f ca="1">IFERROR(INDIRECT("'" &amp; SUBSTITUTE($A$2,"'","''") &amp; "'!C87"), "")</f>
        <v/>
      </c>
    </row>
    <row r="28" spans="1:3" x14ac:dyDescent="0.2">
      <c r="A28" t="s">
        <v>27</v>
      </c>
      <c r="B28" t="str">
        <f ca="1">IFERROR(INDIRECT("'" &amp; SUBSTITUTE($A$2,"'","''") &amp; "'!B90"), "")</f>
        <v/>
      </c>
      <c r="C28" t="str">
        <f ca="1">IFERROR(INDIRECT("'" &amp; SUBSTITUTE($A$2,"'","''") &amp; "'!C90"), "")</f>
        <v/>
      </c>
    </row>
    <row r="29" spans="1:3" x14ac:dyDescent="0.2">
      <c r="A29" t="s">
        <v>28</v>
      </c>
      <c r="B29" t="str">
        <f ca="1">IFERROR(INDIRECT("'" &amp; SUBSTITUTE($A$2,"'","''") &amp; "'!B93"), "")</f>
        <v/>
      </c>
      <c r="C29" t="str">
        <f ca="1">IFERROR(INDIRECT("'" &amp; SUBSTITUTE($A$2,"'","''") &amp; "'!C93"), "")</f>
        <v/>
      </c>
    </row>
    <row r="30" spans="1:3" x14ac:dyDescent="0.2">
      <c r="A30" t="s">
        <v>29</v>
      </c>
      <c r="B30" t="str">
        <f ca="1">IFERROR(INDIRECT("'" &amp; SUBSTITUTE($A$2,"'","''") &amp; "'!B98"), "")</f>
        <v/>
      </c>
      <c r="C30" t="str">
        <f ca="1">IFERROR(INDIRECT("'" &amp; SUBSTITUTE($A$2,"'","''") &amp; "'!C98"), "")</f>
        <v/>
      </c>
    </row>
    <row r="31" spans="1:3" x14ac:dyDescent="0.2">
      <c r="A31" t="s">
        <v>30</v>
      </c>
      <c r="B31" t="str">
        <f ca="1">IFERROR(INDIRECT("'" &amp; SUBSTITUTE($A$2,"'","''") &amp; "'!B101"), "")</f>
        <v/>
      </c>
      <c r="C31" t="str">
        <f ca="1">IFERROR(INDIRECT("'" &amp; SUBSTITUTE($A$2,"'","''") &amp; "'!C101"), "")</f>
        <v/>
      </c>
    </row>
    <row r="32" spans="1:3" x14ac:dyDescent="0.2">
      <c r="A32" t="s">
        <v>31</v>
      </c>
      <c r="B32" t="str">
        <f ca="1">IFERROR(INDIRECT("'" &amp; SUBSTITUTE($A$2,"'","''") &amp; "'!B104"), "")</f>
        <v/>
      </c>
      <c r="C32" t="str">
        <f ca="1">IFERROR(INDIRECT("'" &amp; SUBSTITUTE($A$2,"'","''") &amp; "'!C104"), "")</f>
        <v/>
      </c>
    </row>
    <row r="33" spans="1:3" x14ac:dyDescent="0.2">
      <c r="A33" t="s">
        <v>32</v>
      </c>
      <c r="B33" t="str">
        <f ca="1">IFERROR(INDIRECT("'" &amp; SUBSTITUTE($A$2,"'","''") &amp; "'!B107"), "")</f>
        <v/>
      </c>
      <c r="C33" t="str">
        <f ca="1">IFERROR(INDIRECT("'" &amp; SUBSTITUTE($A$2,"'","''") &amp; "'!C107"), "")</f>
        <v/>
      </c>
    </row>
    <row r="34" spans="1:3" x14ac:dyDescent="0.2">
      <c r="A34" t="s">
        <v>33</v>
      </c>
      <c r="B34" t="str">
        <f ca="1">IFERROR(INDIRECT("'" &amp; SUBSTITUTE($A$2,"'","''") &amp; "'!B110"), "")</f>
        <v/>
      </c>
      <c r="C34" t="str">
        <f ca="1">IFERROR(INDIRECT("'" &amp; SUBSTITUTE($A$2,"'","''") &amp; "'!C110"), "")</f>
        <v/>
      </c>
    </row>
    <row r="35" spans="1:3" x14ac:dyDescent="0.2">
      <c r="A35" t="s">
        <v>34</v>
      </c>
      <c r="B35" t="str">
        <f ca="1">IFERROR(INDIRECT("'" &amp; SUBSTITUTE($A$2,"'","''") &amp; "'!B114"), "")</f>
        <v/>
      </c>
      <c r="C35" t="str">
        <f ca="1">IFERROR(INDIRECT("'" &amp; SUBSTITUTE($A$2,"'","''") &amp; "'!C114"), "")</f>
        <v/>
      </c>
    </row>
    <row r="36" spans="1:3" x14ac:dyDescent="0.2">
      <c r="A36" t="s">
        <v>35</v>
      </c>
      <c r="B36" t="str">
        <f ca="1">IFERROR(INDIRECT("'" &amp; SUBSTITUTE($A$2,"'","''") &amp; "'!B117"), "")</f>
        <v/>
      </c>
      <c r="C36" t="str">
        <f ca="1">IFERROR(INDIRECT("'" &amp; SUBSTITUTE($A$2,"'","''") &amp; "'!C117"), "")</f>
        <v/>
      </c>
    </row>
    <row r="37" spans="1:3" x14ac:dyDescent="0.2">
      <c r="A37" t="s">
        <v>36</v>
      </c>
      <c r="B37" t="str">
        <f ca="1">IFERROR(INDIRECT("'" &amp; SUBSTITUTE($A$2,"'","''") &amp; "'!B120"), "")</f>
        <v/>
      </c>
      <c r="C37" t="str">
        <f ca="1">IFERROR(INDIRECT("'" &amp; SUBSTITUTE($A$2,"'","''") &amp; "'!C120"), "")</f>
        <v/>
      </c>
    </row>
    <row r="38" spans="1:3" x14ac:dyDescent="0.2">
      <c r="A38" t="s">
        <v>37</v>
      </c>
      <c r="B38" t="str">
        <f ca="1">IFERROR(INDIRECT("'" &amp; SUBSTITUTE($A$2,"'","''") &amp; "'!B124"), "")</f>
        <v/>
      </c>
      <c r="C38" t="str">
        <f ca="1">IFERROR(INDIRECT("'" &amp; SUBSTITUTE($A$2,"'","''") &amp; "'!C124"), "")</f>
        <v/>
      </c>
    </row>
    <row r="39" spans="1:3" x14ac:dyDescent="0.2">
      <c r="A39" t="s">
        <v>38</v>
      </c>
      <c r="B39" t="str">
        <f ca="1">IFERROR(INDIRECT("'" &amp; SUBSTITUTE($A$2,"'","''") &amp; "'!B127"), "")</f>
        <v/>
      </c>
      <c r="C39" t="str">
        <f ca="1">IFERROR(INDIRECT("'" &amp; SUBSTITUTE($A$2,"'","''") &amp; "'!C127"), "")</f>
        <v/>
      </c>
    </row>
    <row r="40" spans="1:3" x14ac:dyDescent="0.2">
      <c r="A40" t="s">
        <v>39</v>
      </c>
      <c r="B40" t="str">
        <f ca="1">IFERROR(INDIRECT("'" &amp; SUBSTITUTE($A$2,"'","''") &amp; "'!B130"), "")</f>
        <v/>
      </c>
      <c r="C40" t="str">
        <f ca="1">IFERROR(INDIRECT("'" &amp; SUBSTITUTE($A$2,"'","''") &amp; "'!C130"), "")</f>
        <v/>
      </c>
    </row>
    <row r="41" spans="1:3" x14ac:dyDescent="0.2">
      <c r="A41" t="s">
        <v>40</v>
      </c>
      <c r="B41" t="str">
        <f ca="1">IFERROR(INDIRECT("'" &amp; SUBSTITUTE($A$2,"'","''") &amp; "'!B134"), "")</f>
        <v/>
      </c>
      <c r="C41" t="str">
        <f ca="1">IFERROR(INDIRECT("'" &amp; SUBSTITUTE($A$2,"'","''") &amp; "'!C134"), "")</f>
        <v/>
      </c>
    </row>
    <row r="42" spans="1:3" x14ac:dyDescent="0.2">
      <c r="A42" t="s">
        <v>41</v>
      </c>
      <c r="B42" t="str">
        <f ca="1">IFERROR(INDIRECT("'" &amp; SUBSTITUTE($A$2,"'","''") &amp; "'!B137"), "")</f>
        <v/>
      </c>
      <c r="C42" t="str">
        <f ca="1">IFERROR(INDIRECT("'" &amp; SUBSTITUTE($A$2,"'","''") &amp; "'!C137"), "")</f>
        <v/>
      </c>
    </row>
    <row r="43" spans="1:3" x14ac:dyDescent="0.2">
      <c r="A43" t="s">
        <v>42</v>
      </c>
      <c r="B43" t="str">
        <f ca="1">IFERROR(INDIRECT("'" &amp; SUBSTITUTE($A$2,"'","''") &amp; "'!B140"), "")</f>
        <v/>
      </c>
      <c r="C43" t="str">
        <f ca="1">IFERROR(INDIRECT("'" &amp; SUBSTITUTE($A$2,"'","''") &amp; "'!C140"), "")</f>
        <v/>
      </c>
    </row>
    <row r="44" spans="1:3" x14ac:dyDescent="0.2">
      <c r="A44" t="s">
        <v>43</v>
      </c>
      <c r="B44" t="str">
        <f ca="1">IFERROR(INDIRECT("'" &amp; SUBSTITUTE($A$2,"'","''") &amp; "'!B149"), "")</f>
        <v/>
      </c>
      <c r="C44" t="str">
        <f ca="1">IFERROR(INDIRECT("'" &amp; SUBSTITUTE($A$2,"'","''") &amp; "'!C149"), "")</f>
        <v/>
      </c>
    </row>
    <row r="45" spans="1:3" x14ac:dyDescent="0.2">
      <c r="A45" t="s">
        <v>44</v>
      </c>
      <c r="B45" t="str">
        <f ca="1">IFERROR(INDIRECT("'" &amp; SUBSTITUTE($A$2,"'","''") &amp; "'!B152"), "")</f>
        <v/>
      </c>
      <c r="C45" t="str">
        <f ca="1">IFERROR(INDIRECT("'" &amp; SUBSTITUTE($A$2,"'","''") &amp; "'!C152"), "")</f>
        <v/>
      </c>
    </row>
    <row r="46" spans="1:3" x14ac:dyDescent="0.2">
      <c r="A46" t="s">
        <v>45</v>
      </c>
      <c r="B46" t="str">
        <f ca="1">IFERROR(INDIRECT("'" &amp; SUBSTITUTE($A$2,"'","''") &amp; "'!B155"), "")</f>
        <v/>
      </c>
      <c r="C46" t="str">
        <f ca="1">IFERROR(INDIRECT("'" &amp; SUBSTITUTE($A$2,"'","''") &amp; "'!C155"), "")</f>
        <v/>
      </c>
    </row>
    <row r="47" spans="1:3" x14ac:dyDescent="0.2">
      <c r="A47" t="s">
        <v>46</v>
      </c>
      <c r="B47" t="str">
        <f ca="1">IFERROR(INDIRECT("'" &amp; SUBSTITUTE($A$2,"'","''") &amp; "'!B158"), "")</f>
        <v/>
      </c>
      <c r="C47" t="str">
        <f ca="1">IFERROR(INDIRECT("'" &amp; SUBSTITUTE($A$2,"'","''") &amp; "'!C158"), "")</f>
        <v/>
      </c>
    </row>
    <row r="48" spans="1:3" x14ac:dyDescent="0.2">
      <c r="A48" t="s">
        <v>47</v>
      </c>
      <c r="B48" t="str">
        <f ca="1">IFERROR(INDIRECT("'" &amp; SUBSTITUTE($A$2,"'","''") &amp; "'!B161"), "")</f>
        <v/>
      </c>
      <c r="C48" t="str">
        <f ca="1">IFERROR(INDIRECT("'" &amp; SUBSTITUTE($A$2,"'","''") &amp; "'!C161"), "")</f>
        <v/>
      </c>
    </row>
    <row r="49" spans="1:3" x14ac:dyDescent="0.2">
      <c r="A49" t="s">
        <v>48</v>
      </c>
      <c r="B49" t="str">
        <f ca="1">IFERROR(INDIRECT("'" &amp; SUBSTITUTE($A$2,"'","''") &amp; "'!B173"), "")</f>
        <v/>
      </c>
      <c r="C49" t="str">
        <f ca="1">IFERROR(INDIRECT("'" &amp; SUBSTITUTE($A$2,"'","''") &amp; "'!C173"), "")</f>
        <v/>
      </c>
    </row>
    <row r="50" spans="1:3" x14ac:dyDescent="0.2">
      <c r="A50" t="s">
        <v>49</v>
      </c>
      <c r="B50" t="str">
        <f ca="1">IFERROR(INDIRECT("'" &amp; SUBSTITUTE($A$2,"'","''") &amp; "'!B176"), "")</f>
        <v/>
      </c>
      <c r="C50" t="str">
        <f ca="1">IFERROR(INDIRECT("'" &amp; SUBSTITUTE($A$2,"'","''") &amp; "'!C176"), "")</f>
        <v/>
      </c>
    </row>
    <row r="51" spans="1:3" x14ac:dyDescent="0.2">
      <c r="A51" t="s">
        <v>50</v>
      </c>
      <c r="B51" t="str">
        <f ca="1">IFERROR(INDIRECT("'" &amp; SUBSTITUTE($A$2,"'","''") &amp; "'!B179"), "")</f>
        <v/>
      </c>
      <c r="C51" t="str">
        <f ca="1">IFERROR(INDIRECT("'" &amp; SUBSTITUTE($A$2,"'","''") &amp; "'!C179"), "")</f>
        <v/>
      </c>
    </row>
    <row r="52" spans="1:3" x14ac:dyDescent="0.2">
      <c r="A52" t="s">
        <v>51</v>
      </c>
      <c r="B52" t="str">
        <f ca="1">IFERROR(INDIRECT("'" &amp; SUBSTITUTE($A$2,"'","''") &amp; "'!B182"), "")</f>
        <v/>
      </c>
      <c r="C52" t="str">
        <f ca="1">IFERROR(INDIRECT("'" &amp; SUBSTITUTE($A$2,"'","''") &amp; "'!C182"), "")</f>
        <v/>
      </c>
    </row>
    <row r="53" spans="1:3" x14ac:dyDescent="0.2">
      <c r="A53" t="s">
        <v>52</v>
      </c>
      <c r="B53" t="str">
        <f ca="1">IFERROR(INDIRECT("'" &amp; SUBSTITUTE($A$2,"'","''") &amp; "'!B185"), "")</f>
        <v/>
      </c>
      <c r="C53" t="str">
        <f ca="1">IFERROR(INDIRECT("'" &amp; SUBSTITUTE($A$2,"'","''") &amp; "'!C185"), "")</f>
        <v/>
      </c>
    </row>
    <row r="54" spans="1:3" x14ac:dyDescent="0.2">
      <c r="A54" t="s">
        <v>53</v>
      </c>
      <c r="B54" t="str">
        <f ca="1">IFERROR(INDIRECT("'" &amp; SUBSTITUTE($A$2,"'","''") &amp; "'!B188"), "")</f>
        <v/>
      </c>
      <c r="C54" t="str">
        <f ca="1">IFERROR(INDIRECT("'" &amp; SUBSTITUTE($A$2,"'","''") &amp; "'!C188"), "")</f>
        <v/>
      </c>
    </row>
    <row r="55" spans="1:3" x14ac:dyDescent="0.2">
      <c r="A55" t="s">
        <v>54</v>
      </c>
      <c r="B55" t="str">
        <f ca="1">IFERROR(INDIRECT("'" &amp; SUBSTITUTE($A$2,"'","''") &amp; "'!B191"), "")</f>
        <v/>
      </c>
      <c r="C55" t="str">
        <f ca="1">IFERROR(INDIRECT("'" &amp; SUBSTITUTE($A$2,"'","''") &amp; "'!C191"), "")</f>
        <v/>
      </c>
    </row>
    <row r="56" spans="1:3" x14ac:dyDescent="0.2">
      <c r="A56" t="s">
        <v>55</v>
      </c>
      <c r="B56" t="str">
        <f ca="1">IFERROR(INDIRECT("'" &amp; SUBSTITUTE($A$2,"'","''") &amp; "'!B194"), "")</f>
        <v/>
      </c>
      <c r="C56" t="str">
        <f ca="1">IFERROR(INDIRECT("'" &amp; SUBSTITUTE($A$2,"'","''") &amp; "'!C194"), "")</f>
        <v/>
      </c>
    </row>
    <row r="57" spans="1:3" x14ac:dyDescent="0.2">
      <c r="A57" t="s">
        <v>56</v>
      </c>
      <c r="B57" t="str">
        <f ca="1">IFERROR(INDIRECT("'" &amp; SUBSTITUTE($A$2,"'","''") &amp; "'!B198"), "")</f>
        <v/>
      </c>
      <c r="C57" t="str">
        <f ca="1">IFERROR(INDIRECT("'" &amp; SUBSTITUTE($A$2,"'","''") &amp; "'!C198"), "")</f>
        <v/>
      </c>
    </row>
    <row r="58" spans="1:3" x14ac:dyDescent="0.2">
      <c r="A58" t="s">
        <v>57</v>
      </c>
      <c r="B58" t="str">
        <f ca="1">IFERROR(INDIRECT("'" &amp; SUBSTITUTE($A$2,"'","''") &amp; "'!B201"), "")</f>
        <v/>
      </c>
      <c r="C58" t="str">
        <f ca="1">IFERROR(INDIRECT("'" &amp; SUBSTITUTE($A$2,"'","''") &amp; "'!C201"), "")</f>
        <v/>
      </c>
    </row>
    <row r="59" spans="1:3" x14ac:dyDescent="0.2">
      <c r="A59" t="s">
        <v>58</v>
      </c>
      <c r="B59" t="str">
        <f ca="1">IFERROR(INDIRECT("'" &amp; SUBSTITUTE($A$2,"'","''") &amp; "'!B204"), "")</f>
        <v/>
      </c>
      <c r="C59" t="str">
        <f ca="1">IFERROR(INDIRECT("'" &amp; SUBSTITUTE($A$2,"'","''") &amp; "'!C204"), "")</f>
        <v/>
      </c>
    </row>
    <row r="60" spans="1:3" x14ac:dyDescent="0.2">
      <c r="A60" t="s">
        <v>59</v>
      </c>
      <c r="B60" t="str">
        <f ca="1">IFERROR(INDIRECT("'" &amp; SUBSTITUTE($A$2,"'","''") &amp; "'!B211"), "")</f>
        <v/>
      </c>
      <c r="C60" t="str">
        <f ca="1">IFERROR(INDIRECT("'" &amp; SUBSTITUTE($A$2,"'","''") &amp; "'!C211"), "")</f>
        <v/>
      </c>
    </row>
    <row r="61" spans="1:3" x14ac:dyDescent="0.2">
      <c r="A61" t="s">
        <v>60</v>
      </c>
      <c r="B61" t="str">
        <f ca="1">IFERROR(INDIRECT("'" &amp; SUBSTITUTE($A$2,"'","''") &amp; "'!B214"), "")</f>
        <v/>
      </c>
      <c r="C61" t="str">
        <f ca="1">IFERROR(INDIRECT("'" &amp; SUBSTITUTE($A$2,"'","''") &amp; "'!C214"), "")</f>
        <v/>
      </c>
    </row>
    <row r="62" spans="1:3" x14ac:dyDescent="0.2">
      <c r="A62" t="s">
        <v>61</v>
      </c>
      <c r="B62" t="str">
        <f ca="1">IFERROR(INDIRECT("'" &amp; SUBSTITUTE($A$2,"'","''") &amp; "'!B219"), "")</f>
        <v/>
      </c>
      <c r="C62" t="str">
        <f ca="1">IFERROR(INDIRECT("'" &amp; SUBSTITUTE($A$2,"'","''") &amp; "'!C219"), "")</f>
        <v/>
      </c>
    </row>
    <row r="63" spans="1:3" x14ac:dyDescent="0.2">
      <c r="A63" t="s">
        <v>62</v>
      </c>
      <c r="B63" t="str">
        <f ca="1">IFERROR(INDIRECT("'" &amp; SUBSTITUTE($A$2,"'","''") &amp; "'!B223"), "")</f>
        <v/>
      </c>
      <c r="C63" t="str">
        <f ca="1">IFERROR(INDIRECT("'" &amp; SUBSTITUTE($A$2,"'","''") &amp; "'!C223"), "")</f>
        <v/>
      </c>
    </row>
    <row r="64" spans="1:3" x14ac:dyDescent="0.2">
      <c r="A64" t="s">
        <v>63</v>
      </c>
      <c r="B64" t="str">
        <f ca="1">IFERROR(INDIRECT("'" &amp; SUBSTITUTE($A$2,"'","''") &amp; "'!B226"), "")</f>
        <v/>
      </c>
      <c r="C64" t="str">
        <f ca="1">IFERROR(INDIRECT("'" &amp; SUBSTITUTE($A$2,"'","''") &amp; "'!C226"), "")</f>
        <v/>
      </c>
    </row>
    <row r="65" spans="1:3" x14ac:dyDescent="0.2">
      <c r="A65" t="s">
        <v>64</v>
      </c>
      <c r="B65" t="str">
        <f ca="1">IFERROR(INDIRECT("'" &amp; SUBSTITUTE($A$2,"'","''") &amp; "'!B229"), "")</f>
        <v/>
      </c>
      <c r="C65" t="str">
        <f ca="1">IFERROR(INDIRECT("'" &amp; SUBSTITUTE($A$2,"'","''") &amp; "'!C229"), "")</f>
        <v/>
      </c>
    </row>
    <row r="66" spans="1:3" x14ac:dyDescent="0.2">
      <c r="A66" t="s">
        <v>65</v>
      </c>
      <c r="B66" t="str">
        <f ca="1">IFERROR(INDIRECT("'" &amp; SUBSTITUTE($A$2,"'","''") &amp; "'!B232"), "")</f>
        <v/>
      </c>
      <c r="C66" t="str">
        <f ca="1">IFERROR(INDIRECT("'" &amp; SUBSTITUTE($A$2,"'","''") &amp; "'!C232"), "")</f>
        <v/>
      </c>
    </row>
    <row r="67" spans="1:3" x14ac:dyDescent="0.2">
      <c r="A67" t="s">
        <v>66</v>
      </c>
      <c r="B67" t="str">
        <f ca="1">IFERROR(INDIRECT("'" &amp; SUBSTITUTE($A$2,"'","''") &amp; "'!B235"), "")</f>
        <v/>
      </c>
      <c r="C67" t="str">
        <f ca="1">IFERROR(INDIRECT("'" &amp; SUBSTITUTE($A$2,"'","''") &amp; "'!C235"), "")</f>
        <v/>
      </c>
    </row>
    <row r="68" spans="1:3" x14ac:dyDescent="0.2">
      <c r="A68" t="s">
        <v>67</v>
      </c>
      <c r="B68" t="str">
        <f ca="1">IFERROR(INDIRECT("'" &amp; SUBSTITUTE($A$2,"'","''") &amp; "'!B238"), "")</f>
        <v/>
      </c>
      <c r="C68" t="str">
        <f ca="1">IFERROR(INDIRECT("'" &amp; SUBSTITUTE($A$2,"'","''") &amp; "'!C238"), "")</f>
        <v/>
      </c>
    </row>
    <row r="69" spans="1:3" x14ac:dyDescent="0.2">
      <c r="A69" t="s">
        <v>68</v>
      </c>
      <c r="B69" t="str">
        <f ca="1">IFERROR(INDIRECT("'" &amp; SUBSTITUTE($A$2,"'","''") &amp; "'!B242"), "")</f>
        <v/>
      </c>
      <c r="C69" t="str">
        <f ca="1">IFERROR(INDIRECT("'" &amp; SUBSTITUTE($A$2,"'","''") &amp; "'!C242"), "")</f>
        <v/>
      </c>
    </row>
    <row r="70" spans="1:3" x14ac:dyDescent="0.2">
      <c r="A70" t="s">
        <v>69</v>
      </c>
      <c r="B70" t="str">
        <f ca="1">IFERROR(INDIRECT("'" &amp; SUBSTITUTE($A$2,"'","''") &amp; "'!B246"), "")</f>
        <v/>
      </c>
      <c r="C70" t="str">
        <f ca="1">IFERROR(INDIRECT("'" &amp; SUBSTITUTE($A$2,"'","''") &amp; "'!C246"), "")</f>
        <v/>
      </c>
    </row>
    <row r="71" spans="1:3" x14ac:dyDescent="0.2">
      <c r="A71" t="s">
        <v>70</v>
      </c>
      <c r="B71" t="str">
        <f ca="1">IFERROR(INDIRECT("'" &amp; SUBSTITUTE($A$2,"'","''") &amp; "'!B249"), "")</f>
        <v/>
      </c>
      <c r="C71" t="str">
        <f ca="1">IFERROR(INDIRECT("'" &amp; SUBSTITUTE($A$2,"'","''") &amp; "'!C249"), "")</f>
        <v/>
      </c>
    </row>
    <row r="72" spans="1:3" x14ac:dyDescent="0.2">
      <c r="A72" t="s">
        <v>71</v>
      </c>
      <c r="B72" t="str">
        <f ca="1">IFERROR(INDIRECT("'" &amp; SUBSTITUTE($A$2,"'","''") &amp; "'!B252"), "")</f>
        <v/>
      </c>
      <c r="C72" t="str">
        <f ca="1">IFERROR(INDIRECT("'" &amp; SUBSTITUTE($A$2,"'","''") &amp; "'!C252"), "")</f>
        <v/>
      </c>
    </row>
    <row r="73" spans="1:3" x14ac:dyDescent="0.2">
      <c r="A73" t="s">
        <v>72</v>
      </c>
      <c r="B73" t="str">
        <f ca="1">IFERROR(INDIRECT("'" &amp; SUBSTITUTE($A$2,"'","''") &amp; "'!B255"), "")</f>
        <v/>
      </c>
      <c r="C73" t="str">
        <f ca="1">IFERROR(INDIRECT("'" &amp; SUBSTITUTE($A$2,"'","''") &amp; "'!C255"), "")</f>
        <v/>
      </c>
    </row>
    <row r="74" spans="1:3" x14ac:dyDescent="0.2">
      <c r="A74" t="s">
        <v>73</v>
      </c>
      <c r="B74" t="str">
        <f ca="1">IFERROR(INDIRECT("'" &amp; SUBSTITUTE($A$2,"'","''") &amp; "'!B258"), "")</f>
        <v/>
      </c>
      <c r="C74" t="str">
        <f ca="1">IFERROR(INDIRECT("'" &amp; SUBSTITUTE($A$2,"'","''") &amp; "'!C258"), "")</f>
        <v/>
      </c>
    </row>
    <row r="75" spans="1:3" x14ac:dyDescent="0.2">
      <c r="A75" t="s">
        <v>74</v>
      </c>
      <c r="B75" t="str">
        <f ca="1">IFERROR(INDIRECT("'" &amp; SUBSTITUTE($A$2,"'","''") &amp; "'!B261"), "")</f>
        <v/>
      </c>
      <c r="C75" t="str">
        <f ca="1">IFERROR(INDIRECT("'" &amp; SUBSTITUTE($A$2,"'","''") &amp; "'!C261"), "")</f>
        <v/>
      </c>
    </row>
    <row r="76" spans="1:3" x14ac:dyDescent="0.2">
      <c r="A76" t="s">
        <v>75</v>
      </c>
      <c r="B76" t="str">
        <f ca="1">IFERROR(INDIRECT("'" &amp; SUBSTITUTE($A$2,"'","''") &amp; "'!B266"), "")</f>
        <v/>
      </c>
      <c r="C76" t="str">
        <f ca="1">IFERROR(INDIRECT("'" &amp; SUBSTITUTE($A$2,"'","''") &amp; "'!C266"), "")</f>
        <v/>
      </c>
    </row>
    <row r="77" spans="1:3" x14ac:dyDescent="0.2">
      <c r="A77" t="s">
        <v>76</v>
      </c>
      <c r="B77" t="str">
        <f ca="1">IFERROR(INDIRECT("'" &amp; SUBSTITUTE($A$2,"'","''") &amp; "'!B269"), "")</f>
        <v/>
      </c>
      <c r="C77" t="str">
        <f ca="1">IFERROR(INDIRECT("'" &amp; SUBSTITUTE($A$2,"'","''") &amp; "'!C269"), "")</f>
        <v/>
      </c>
    </row>
    <row r="78" spans="1:3" x14ac:dyDescent="0.2">
      <c r="A78" t="s">
        <v>77</v>
      </c>
      <c r="B78" t="str">
        <f ca="1">IFERROR(INDIRECT("'" &amp; SUBSTITUTE($A$2,"'","''") &amp; "'!B272"), "")</f>
        <v/>
      </c>
      <c r="C78" t="str">
        <f ca="1">IFERROR(INDIRECT("'" &amp; SUBSTITUTE($A$2,"'","''") &amp; "'!C272"), "")</f>
        <v/>
      </c>
    </row>
    <row r="79" spans="1:3" x14ac:dyDescent="0.2">
      <c r="A79" t="s">
        <v>78</v>
      </c>
      <c r="B79" t="str">
        <f ca="1">IFERROR(INDIRECT("'" &amp; SUBSTITUTE($A$2,"'","''") &amp; "'!B275"), "")</f>
        <v/>
      </c>
      <c r="C79" t="str">
        <f ca="1">IFERROR(INDIRECT("'" &amp; SUBSTITUTE($A$2,"'","''") &amp; "'!C275"), "")</f>
        <v/>
      </c>
    </row>
    <row r="80" spans="1:3" x14ac:dyDescent="0.2">
      <c r="A80" t="s">
        <v>79</v>
      </c>
      <c r="B80" t="str">
        <f ca="1">IFERROR(INDIRECT("'" &amp; SUBSTITUTE($A$2,"'","''") &amp; "'!B278"), "")</f>
        <v/>
      </c>
      <c r="C80" t="str">
        <f ca="1">IFERROR(INDIRECT("'" &amp; SUBSTITUTE($A$2,"'","''") &amp; "'!C278"), "")</f>
        <v/>
      </c>
    </row>
    <row r="81" spans="1:3" x14ac:dyDescent="0.2">
      <c r="A81" t="s">
        <v>80</v>
      </c>
      <c r="B81" t="str">
        <f ca="1">IFERROR(INDIRECT("'" &amp; SUBSTITUTE($A$2,"'","''") &amp; "'!B282"), "")</f>
        <v/>
      </c>
      <c r="C81" t="str">
        <f ca="1">IFERROR(INDIRECT("'" &amp; SUBSTITUTE($A$2,"'","''") &amp; "'!C282"), "")</f>
        <v/>
      </c>
    </row>
    <row r="82" spans="1:3" x14ac:dyDescent="0.2">
      <c r="A82" t="s">
        <v>81</v>
      </c>
      <c r="B82" t="str">
        <f ca="1">IFERROR(INDIRECT("'" &amp; SUBSTITUTE($A$2,"'","''") &amp; "'!B285"), "")</f>
        <v/>
      </c>
      <c r="C82" t="str">
        <f ca="1">IFERROR(INDIRECT("'" &amp; SUBSTITUTE($A$2,"'","''") &amp; "'!C285"), "")</f>
        <v/>
      </c>
    </row>
    <row r="83" spans="1:3" x14ac:dyDescent="0.2">
      <c r="A83" t="s">
        <v>82</v>
      </c>
      <c r="B83" t="str">
        <f ca="1">IFERROR(INDIRECT("'" &amp; SUBSTITUTE($A$2,"'","''") &amp; "'!B288"), "")</f>
        <v/>
      </c>
      <c r="C83" t="str">
        <f ca="1">IFERROR(INDIRECT("'" &amp; SUBSTITUTE($A$2,"'","''") &amp; "'!C288"), "")</f>
        <v/>
      </c>
    </row>
    <row r="84" spans="1:3" x14ac:dyDescent="0.2">
      <c r="A84" t="s">
        <v>83</v>
      </c>
      <c r="B84" t="str">
        <f ca="1">IFERROR(INDIRECT("'" &amp; SUBSTITUTE($A$2,"'","''") &amp; "'!B291"), "")</f>
        <v/>
      </c>
      <c r="C84" t="str">
        <f ca="1">IFERROR(INDIRECT("'" &amp; SUBSTITUTE($A$2,"'","''") &amp; "'!C291"), "")</f>
        <v/>
      </c>
    </row>
    <row r="85" spans="1:3" x14ac:dyDescent="0.2">
      <c r="A85" t="s">
        <v>84</v>
      </c>
      <c r="B85" t="str">
        <f ca="1">IFERROR(INDIRECT("'" &amp; SUBSTITUTE($A$2,"'","''") &amp; "'!B295"), "")</f>
        <v/>
      </c>
      <c r="C85" t="str">
        <f ca="1">IFERROR(INDIRECT("'" &amp; SUBSTITUTE($A$2,"'","''") &amp; "'!C295"), "")</f>
        <v/>
      </c>
    </row>
    <row r="86" spans="1:3" x14ac:dyDescent="0.2">
      <c r="A86" t="s">
        <v>85</v>
      </c>
      <c r="B86" t="str">
        <f ca="1">IFERROR(INDIRECT("'" &amp; SUBSTITUTE($A$2,"'","''") &amp; "'!B298"), "")</f>
        <v/>
      </c>
      <c r="C86" t="str">
        <f ca="1">IFERROR(INDIRECT("'" &amp; SUBSTITUTE($A$2,"'","''") &amp; "'!C298"), "")</f>
        <v/>
      </c>
    </row>
    <row r="87" spans="1:3" x14ac:dyDescent="0.2">
      <c r="A87" t="s">
        <v>86</v>
      </c>
      <c r="B87" t="str">
        <f ca="1">IFERROR(INDIRECT("'" &amp; SUBSTITUTE($A$2,"'","''") &amp; "'!B305"), "")</f>
        <v/>
      </c>
      <c r="C87" t="str">
        <f ca="1">IFERROR(INDIRECT("'" &amp; SUBSTITUTE($A$2,"'","''") &amp; "'!C305"), "")</f>
        <v/>
      </c>
    </row>
    <row r="88" spans="1:3" x14ac:dyDescent="0.2">
      <c r="A88" t="s">
        <v>87</v>
      </c>
      <c r="B88" t="str">
        <f ca="1">IFERROR(INDIRECT("'" &amp; SUBSTITUTE($A$2,"'","''") &amp; "'!B308"), "")</f>
        <v/>
      </c>
      <c r="C88" t="str">
        <f ca="1">IFERROR(INDIRECT("'" &amp; SUBSTITUTE($A$2,"'","''") &amp; "'!C308"), "")</f>
        <v/>
      </c>
    </row>
    <row r="89" spans="1:3" x14ac:dyDescent="0.2">
      <c r="A89" t="s">
        <v>88</v>
      </c>
      <c r="B89" t="str">
        <f ca="1">IFERROR(INDIRECT("'" &amp; SUBSTITUTE($A$2,"'","''") &amp; "'!B311"), "")</f>
        <v/>
      </c>
      <c r="C89" t="str">
        <f ca="1">IFERROR(INDIRECT("'" &amp; SUBSTITUTE($A$2,"'","''") &amp; "'!C311"), "")</f>
        <v/>
      </c>
    </row>
    <row r="90" spans="1:3" x14ac:dyDescent="0.2">
      <c r="A90" t="s">
        <v>89</v>
      </c>
      <c r="B90" t="str">
        <f ca="1">IFERROR(INDIRECT("'" &amp; SUBSTITUTE($A$2,"'","''") &amp; "'!B314"), "")</f>
        <v/>
      </c>
      <c r="C90" t="str">
        <f ca="1">IFERROR(INDIRECT("'" &amp; SUBSTITUTE($A$2,"'","''") &amp; "'!C314"), "")</f>
        <v/>
      </c>
    </row>
    <row r="91" spans="1:3" x14ac:dyDescent="0.2">
      <c r="A91" t="s">
        <v>90</v>
      </c>
      <c r="B91" t="str">
        <f ca="1">IFERROR(INDIRECT("'" &amp; SUBSTITUTE($A$2,"'","''") &amp; "'!B319"), "")</f>
        <v/>
      </c>
      <c r="C91" t="str">
        <f ca="1">IFERROR(INDIRECT("'" &amp; SUBSTITUTE($A$2,"'","''") &amp; "'!C319"), "")</f>
        <v/>
      </c>
    </row>
    <row r="92" spans="1:3" x14ac:dyDescent="0.2">
      <c r="A92" t="s">
        <v>91</v>
      </c>
      <c r="B92" t="str">
        <f ca="1">IFERROR(INDIRECT("'" &amp; SUBSTITUTE($A$2,"'","''") &amp; "'!B322"), "")</f>
        <v/>
      </c>
      <c r="C92" t="str">
        <f ca="1">IFERROR(INDIRECT("'" &amp; SUBSTITUTE($A$2,"'","''") &amp; "'!C322"), "")</f>
        <v/>
      </c>
    </row>
    <row r="93" spans="1:3" x14ac:dyDescent="0.2">
      <c r="A93" t="s">
        <v>92</v>
      </c>
      <c r="B93" t="str">
        <f ca="1">IFERROR(INDIRECT("'" &amp; SUBSTITUTE($A$2,"'","''") &amp; "'!B325"), "")</f>
        <v/>
      </c>
      <c r="C93" t="str">
        <f ca="1">IFERROR(INDIRECT("'" &amp; SUBSTITUTE($A$2,"'","''") &amp; "'!C325"), "")</f>
        <v/>
      </c>
    </row>
    <row r="94" spans="1:3" x14ac:dyDescent="0.2">
      <c r="A94" t="s">
        <v>93</v>
      </c>
      <c r="B94" t="str">
        <f ca="1">IFERROR(INDIRECT("'" &amp; SUBSTITUTE($A$2,"'","''") &amp; "'!B328"), "")</f>
        <v/>
      </c>
      <c r="C94" t="str">
        <f ca="1">IFERROR(INDIRECT("'" &amp; SUBSTITUTE($A$2,"'","''") &amp; "'!C328"), "")</f>
        <v/>
      </c>
    </row>
    <row r="95" spans="1:3" x14ac:dyDescent="0.2">
      <c r="A95" t="s">
        <v>94</v>
      </c>
      <c r="B95" t="str">
        <f ca="1">IFERROR(INDIRECT("'" &amp; SUBSTITUTE($A$2,"'","''") &amp; "'!B331"), "")</f>
        <v/>
      </c>
      <c r="C95" t="str">
        <f ca="1">IFERROR(INDIRECT("'" &amp; SUBSTITUTE($A$2,"'","''") &amp; "'!C331"), "")</f>
        <v/>
      </c>
    </row>
    <row r="96" spans="1:3" x14ac:dyDescent="0.2">
      <c r="A96" t="s">
        <v>95</v>
      </c>
      <c r="B96" t="str">
        <f ca="1">IFERROR(INDIRECT("'" &amp; SUBSTITUTE($A$2,"'","''") &amp; "'!B334"), "")</f>
        <v/>
      </c>
      <c r="C96" t="str">
        <f ca="1">IFERROR(INDIRECT("'" &amp; SUBSTITUTE($A$2,"'","''") &amp; "'!C334"), "")</f>
        <v/>
      </c>
    </row>
    <row r="97" spans="1:3" x14ac:dyDescent="0.2">
      <c r="A97" t="s">
        <v>96</v>
      </c>
      <c r="B97" t="str">
        <f ca="1">IFERROR(INDIRECT("'" &amp; SUBSTITUTE($A$2,"'","''") &amp; "'!B337"), "")</f>
        <v/>
      </c>
      <c r="C97" t="str">
        <f ca="1">IFERROR(INDIRECT("'" &amp; SUBSTITUTE($A$2,"'","''") &amp; "'!C337"), "")</f>
        <v/>
      </c>
    </row>
    <row r="98" spans="1:3" x14ac:dyDescent="0.2">
      <c r="A98" t="s">
        <v>97</v>
      </c>
      <c r="B98" t="str">
        <f ca="1">IFERROR(INDIRECT("'" &amp; SUBSTITUTE($A$2,"'","''") &amp; "'!B341"), "")</f>
        <v/>
      </c>
      <c r="C98" t="str">
        <f ca="1">IFERROR(INDIRECT("'" &amp; SUBSTITUTE($A$2,"'","''") &amp; "'!C341"), "")</f>
        <v/>
      </c>
    </row>
    <row r="99" spans="1:3" x14ac:dyDescent="0.2">
      <c r="A99" t="s">
        <v>98</v>
      </c>
      <c r="B99" t="str">
        <f ca="1">IFERROR(INDIRECT("'" &amp; SUBSTITUTE($A$2,"'","''") &amp; "'!B344"), "")</f>
        <v/>
      </c>
      <c r="C99" t="str">
        <f ca="1">IFERROR(INDIRECT("'" &amp; SUBSTITUTE($A$2,"'","''") &amp; "'!C344"), "")</f>
        <v/>
      </c>
    </row>
    <row r="100" spans="1:3" x14ac:dyDescent="0.2">
      <c r="A100" t="s">
        <v>99</v>
      </c>
      <c r="B100" t="str">
        <f ca="1">IFERROR(INDIRECT("'" &amp; SUBSTITUTE($A$2,"'","''") &amp; "'!B347"), "")</f>
        <v/>
      </c>
      <c r="C100" t="str">
        <f ca="1">IFERROR(INDIRECT("'" &amp; SUBSTITUTE($A$2,"'","''") &amp; "'!C347"), "")</f>
        <v/>
      </c>
    </row>
    <row r="101" spans="1:3" x14ac:dyDescent="0.2">
      <c r="A101" t="s">
        <v>100</v>
      </c>
      <c r="B101" t="str">
        <f ca="1">IFERROR(INDIRECT("'" &amp; SUBSTITUTE($A$2,"'","''") &amp; "'!B350"), "")</f>
        <v/>
      </c>
      <c r="C101" t="str">
        <f ca="1">IFERROR(INDIRECT("'" &amp; SUBSTITUTE($A$2,"'","''") &amp; "'!C350"), "")</f>
        <v/>
      </c>
    </row>
    <row r="102" spans="1:3" x14ac:dyDescent="0.2">
      <c r="A102" t="s">
        <v>101</v>
      </c>
      <c r="B102" t="str">
        <f ca="1">IFERROR(INDIRECT("'" &amp; SUBSTITUTE($A$2,"'","''") &amp; "'!B353"), "")</f>
        <v/>
      </c>
      <c r="C102" t="str">
        <f ca="1">IFERROR(INDIRECT("'" &amp; SUBSTITUTE($A$2,"'","''") &amp; "'!C353"), "")</f>
        <v/>
      </c>
    </row>
    <row r="103" spans="1:3" x14ac:dyDescent="0.2">
      <c r="A103" t="s">
        <v>102</v>
      </c>
      <c r="B103" t="str">
        <f ca="1">IFERROR(INDIRECT("'" &amp; SUBSTITUTE($A$2,"'","''") &amp; "'!B357"), "")</f>
        <v/>
      </c>
      <c r="C103" t="str">
        <f ca="1">IFERROR(INDIRECT("'" &amp; SUBSTITUTE($A$2,"'","''") &amp; "'!C357"), "")</f>
        <v/>
      </c>
    </row>
    <row r="104" spans="1:3" x14ac:dyDescent="0.2">
      <c r="A104" t="s">
        <v>103</v>
      </c>
      <c r="B104" t="str">
        <f ca="1">IFERROR(INDIRECT("'" &amp; SUBSTITUTE($A$2,"'","''") &amp; "'!B360"), "")</f>
        <v/>
      </c>
      <c r="C104" t="str">
        <f ca="1">IFERROR(INDIRECT("'" &amp; SUBSTITUTE($A$2,"'","''") &amp; "'!C360"), "")</f>
        <v/>
      </c>
    </row>
    <row r="105" spans="1:3" x14ac:dyDescent="0.2">
      <c r="A105" t="s">
        <v>104</v>
      </c>
      <c r="B105" t="str">
        <f ca="1">IFERROR(INDIRECT("'" &amp; SUBSTITUTE($A$2,"'","''") &amp; "'!B363"), "")</f>
        <v/>
      </c>
      <c r="C105" t="str">
        <f ca="1">IFERROR(INDIRECT("'" &amp; SUBSTITUTE($A$2,"'","''") &amp; "'!C363"), "")</f>
        <v/>
      </c>
    </row>
    <row r="106" spans="1:3" x14ac:dyDescent="0.2">
      <c r="A106" t="s">
        <v>105</v>
      </c>
      <c r="B106" t="str">
        <f ca="1">IFERROR(INDIRECT("'" &amp; SUBSTITUTE($A$2,"'","''") &amp; "'!B370"), "")</f>
        <v/>
      </c>
      <c r="C106" t="str">
        <f ca="1">IFERROR(INDIRECT("'" &amp; SUBSTITUTE($A$2,"'","''") &amp; "'!C370"), "")</f>
        <v/>
      </c>
    </row>
    <row r="107" spans="1:3" x14ac:dyDescent="0.2">
      <c r="A107" t="s">
        <v>106</v>
      </c>
      <c r="B107" t="str">
        <f ca="1">IFERROR(INDIRECT("'" &amp; SUBSTITUTE($A$2,"'","''") &amp; "'!B373"), "")</f>
        <v/>
      </c>
      <c r="C107" t="str">
        <f ca="1">IFERROR(INDIRECT("'" &amp; SUBSTITUTE($A$2,"'","''") &amp; "'!C373"), "")</f>
        <v/>
      </c>
    </row>
    <row r="108" spans="1:3" x14ac:dyDescent="0.2">
      <c r="A108" t="s">
        <v>107</v>
      </c>
      <c r="B108" t="str">
        <f ca="1">IFERROR(INDIRECT("'" &amp; SUBSTITUTE($A$2,"'","''") &amp; "'!B376"), "")</f>
        <v/>
      </c>
      <c r="C108" t="str">
        <f ca="1">IFERROR(INDIRECT("'" &amp; SUBSTITUTE($A$2,"'","''") &amp; "'!C376"), "")</f>
        <v/>
      </c>
    </row>
    <row r="109" spans="1:3" x14ac:dyDescent="0.2">
      <c r="A109" t="s">
        <v>108</v>
      </c>
      <c r="B109" t="str">
        <f ca="1">IFERROR(INDIRECT("'" &amp; SUBSTITUTE($A$2,"'","''") &amp; "'!B379"), "")</f>
        <v/>
      </c>
      <c r="C109" t="str">
        <f ca="1">IFERROR(INDIRECT("'" &amp; SUBSTITUTE($A$2,"'","''") &amp; "'!C379"), "")</f>
        <v/>
      </c>
    </row>
    <row r="110" spans="1:3" x14ac:dyDescent="0.2">
      <c r="A110" t="s">
        <v>109</v>
      </c>
      <c r="B110" t="str">
        <f ca="1">IFERROR(INDIRECT("'" &amp; SUBSTITUTE($A$2,"'","''") &amp; "'!B383"), "")</f>
        <v/>
      </c>
      <c r="C110" t="str">
        <f ca="1">IFERROR(INDIRECT("'" &amp; SUBSTITUTE($A$2,"'","''") &amp; "'!C383"), "")</f>
        <v/>
      </c>
    </row>
    <row r="111" spans="1:3" x14ac:dyDescent="0.2">
      <c r="A111" t="s">
        <v>110</v>
      </c>
      <c r="B111" t="str">
        <f ca="1">IFERROR(INDIRECT("'" &amp; SUBSTITUTE($A$2,"'","''") &amp; "'!B397"), "")</f>
        <v/>
      </c>
      <c r="C111" t="str">
        <f ca="1">IFERROR(INDIRECT("'" &amp; SUBSTITUTE($A$2,"'","''") &amp; "'!C397"), "")</f>
        <v/>
      </c>
    </row>
    <row r="112" spans="1:3" x14ac:dyDescent="0.2">
      <c r="A112" t="s">
        <v>111</v>
      </c>
      <c r="B112" t="str">
        <f ca="1">IFERROR(INDIRECT("'" &amp; SUBSTITUTE($A$2,"'","''") &amp; "'!B400"), "")</f>
        <v/>
      </c>
      <c r="C112" t="str">
        <f ca="1">IFERROR(INDIRECT("'" &amp; SUBSTITUTE($A$2,"'","''") &amp; "'!C400"), "")</f>
        <v/>
      </c>
    </row>
    <row r="113" spans="1:3" x14ac:dyDescent="0.2">
      <c r="A113" t="s">
        <v>112</v>
      </c>
      <c r="B113" t="str">
        <f ca="1">IFERROR(INDIRECT("'" &amp; SUBSTITUTE($A$2,"'","''") &amp; "'!B403"), "")</f>
        <v/>
      </c>
      <c r="C113" t="str">
        <f ca="1">IFERROR(INDIRECT("'" &amp; SUBSTITUTE($A$2,"'","''") &amp; "'!C403"), "")</f>
        <v/>
      </c>
    </row>
    <row r="114" spans="1:3" x14ac:dyDescent="0.2">
      <c r="A114" t="s">
        <v>113</v>
      </c>
      <c r="B114" t="str">
        <f ca="1">IFERROR(INDIRECT("'" &amp; SUBSTITUTE($A$2,"'","''") &amp; "'!B406"), "")</f>
        <v/>
      </c>
      <c r="C114" t="str">
        <f ca="1">IFERROR(INDIRECT("'" &amp; SUBSTITUTE($A$2,"'","''") &amp; "'!C406"), "")</f>
        <v/>
      </c>
    </row>
    <row r="115" spans="1:3" x14ac:dyDescent="0.2">
      <c r="A115" t="s">
        <v>114</v>
      </c>
      <c r="B115" t="str">
        <f ca="1">IFERROR(INDIRECT("'" &amp; SUBSTITUTE($A$2,"'","''") &amp; "'!B419"), "")</f>
        <v/>
      </c>
      <c r="C115" t="str">
        <f ca="1">IFERROR(INDIRECT("'" &amp; SUBSTITUTE($A$2,"'","''") &amp; "'!C419"), "")</f>
        <v/>
      </c>
    </row>
    <row r="116" spans="1:3" x14ac:dyDescent="0.2">
      <c r="A116" t="s">
        <v>115</v>
      </c>
      <c r="B116" t="str">
        <f ca="1">IFERROR(INDIRECT("'" &amp; SUBSTITUTE($A$2,"'","''") &amp; "'!B422"), "")</f>
        <v/>
      </c>
      <c r="C116" t="str">
        <f ca="1">IFERROR(INDIRECT("'" &amp; SUBSTITUTE($A$2,"'","''") &amp; "'!C422"), "")</f>
        <v/>
      </c>
    </row>
    <row r="117" spans="1:3" x14ac:dyDescent="0.2">
      <c r="A117" t="s">
        <v>116</v>
      </c>
      <c r="B117" t="str">
        <f ca="1">IFERROR(INDIRECT("'" &amp; SUBSTITUTE($A$2,"'","''") &amp; "'!B425"), "")</f>
        <v/>
      </c>
      <c r="C117" t="str">
        <f ca="1">IFERROR(INDIRECT("'" &amp; SUBSTITUTE($A$2,"'","''") &amp; "'!C425"), "")</f>
        <v/>
      </c>
    </row>
    <row r="118" spans="1:3" x14ac:dyDescent="0.2">
      <c r="A118" t="s">
        <v>117</v>
      </c>
      <c r="B118" t="str">
        <f ca="1">IFERROR(INDIRECT("'" &amp; SUBSTITUTE($A$2,"'","''") &amp; "'!B428"), "")</f>
        <v/>
      </c>
      <c r="C118" t="str">
        <f ca="1">IFERROR(INDIRECT("'" &amp; SUBSTITUTE($A$2,"'","''") &amp; "'!C428"), "")</f>
        <v/>
      </c>
    </row>
    <row r="119" spans="1:3" x14ac:dyDescent="0.2">
      <c r="A119" t="s">
        <v>118</v>
      </c>
      <c r="B119" t="str">
        <f ca="1">IFERROR(INDIRECT("'" &amp; SUBSTITUTE($A$2,"'","''") &amp; "'!B432"), "")</f>
        <v/>
      </c>
      <c r="C119" t="str">
        <f ca="1">IFERROR(INDIRECT("'" &amp; SUBSTITUTE($A$2,"'","''") &amp; "'!C432"), "")</f>
        <v/>
      </c>
    </row>
    <row r="120" spans="1:3" x14ac:dyDescent="0.2">
      <c r="A120" t="s">
        <v>119</v>
      </c>
      <c r="B120" t="str">
        <f ca="1">IFERROR(INDIRECT("'" &amp; SUBSTITUTE($A$2,"'","''") &amp; "'!B435"), "")</f>
        <v/>
      </c>
      <c r="C120" t="str">
        <f ca="1">IFERROR(INDIRECT("'" &amp; SUBSTITUTE($A$2,"'","''") &amp; "'!C435"), "")</f>
        <v/>
      </c>
    </row>
    <row r="121" spans="1:3" x14ac:dyDescent="0.2">
      <c r="A121" t="s">
        <v>120</v>
      </c>
      <c r="B121" t="str">
        <f ca="1">IFERROR(INDIRECT("'" &amp; SUBSTITUTE($A$2,"'","''") &amp; "'!B438"), "")</f>
        <v/>
      </c>
      <c r="C121" t="str">
        <f ca="1">IFERROR(INDIRECT("'" &amp; SUBSTITUTE($A$2,"'","''") &amp; "'!C438"), 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A5525-CF05-E54B-91E5-78FE35230F87}">
  <dimension ref="A1:C440"/>
  <sheetViews>
    <sheetView workbookViewId="0">
      <selection activeCell="E8" sqref="E8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0.23</v>
      </c>
      <c r="C2" s="6">
        <v>36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0.11</v>
      </c>
      <c r="C5" s="6">
        <v>24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0.34</v>
      </c>
      <c r="C8" s="6">
        <v>24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0.23</v>
      </c>
      <c r="C11" s="6">
        <v>42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33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30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0.34</v>
      </c>
      <c r="C20" s="6">
        <v>1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56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0.33</v>
      </c>
      <c r="C26" s="6">
        <v>74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0.33</v>
      </c>
      <c r="C29" s="6">
        <v>83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0.3</v>
      </c>
      <c r="C32" s="6">
        <v>88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0.63</v>
      </c>
      <c r="C35" s="6">
        <v>89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3.64</v>
      </c>
      <c r="C39" s="6">
        <v>55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6.49</v>
      </c>
      <c r="C42" s="6">
        <v>94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7.74</v>
      </c>
      <c r="C45" s="6">
        <v>55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0.23</v>
      </c>
      <c r="C50" s="7">
        <v>36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2.73</v>
      </c>
      <c r="C53" s="6">
        <v>78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0.68</v>
      </c>
      <c r="C56" s="6">
        <v>34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0.25</v>
      </c>
      <c r="C59" s="6">
        <v>4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0.08</v>
      </c>
      <c r="C62" s="6">
        <v>21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0.33</v>
      </c>
      <c r="C65" s="6">
        <v>52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16.2</v>
      </c>
      <c r="C68" s="6">
        <v>71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</v>
      </c>
      <c r="C71" s="6">
        <v>24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</v>
      </c>
      <c r="C74" s="7">
        <v>33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</v>
      </c>
      <c r="C77" s="7">
        <v>30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0.33</v>
      </c>
      <c r="C81" s="7">
        <v>74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0.33</v>
      </c>
      <c r="C84" s="7">
        <v>83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0.12</v>
      </c>
      <c r="C87" s="6">
        <v>67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-0.1</v>
      </c>
      <c r="C90" s="6">
        <v>6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-0.1</v>
      </c>
      <c r="C93" s="6">
        <v>6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31.06</v>
      </c>
      <c r="C98" s="6">
        <v>64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37.549999999999997</v>
      </c>
      <c r="C101" s="6">
        <v>55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0.82699999999999996</v>
      </c>
      <c r="C104" s="6">
        <v>89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528.85</v>
      </c>
      <c r="C107" s="6">
        <v>73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121.06</v>
      </c>
      <c r="C110" s="6">
        <v>64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14.45</v>
      </c>
      <c r="C114" s="6">
        <v>47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16.38</v>
      </c>
      <c r="C117" s="6">
        <v>42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0.88200000000000001</v>
      </c>
      <c r="C120" s="6">
        <v>71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13.77</v>
      </c>
      <c r="C124" s="6">
        <v>90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15.93</v>
      </c>
      <c r="C127" s="6">
        <v>85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0.86399999999999999</v>
      </c>
      <c r="C130" s="6">
        <v>94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2.2799999999999998</v>
      </c>
      <c r="C134" s="6">
        <v>68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3.19</v>
      </c>
      <c r="C137" s="6">
        <v>41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0.71399999999999997</v>
      </c>
      <c r="C140" s="6">
        <v>97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0.11</v>
      </c>
      <c r="C143" s="7">
        <v>24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0.3</v>
      </c>
      <c r="C146" s="7">
        <v>88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0.23</v>
      </c>
      <c r="C149" s="6">
        <v>78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1.93</v>
      </c>
      <c r="C152" s="6">
        <v>74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2.96</v>
      </c>
      <c r="C155" s="6">
        <v>76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2.0499999999999998</v>
      </c>
      <c r="C158" s="6">
        <v>86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</v>
      </c>
      <c r="C161" s="6">
        <v>2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6.49</v>
      </c>
      <c r="C164" s="7">
        <v>94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37.549999999999997</v>
      </c>
      <c r="C169" s="7">
        <v>55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36.07</v>
      </c>
      <c r="C173" s="6">
        <v>64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1.02</v>
      </c>
      <c r="C176" s="6">
        <v>28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0.11</v>
      </c>
      <c r="C179" s="6">
        <v>24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1.1399999999999999</v>
      </c>
      <c r="C182" s="6">
        <v>99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0.46</v>
      </c>
      <c r="C185" s="6">
        <v>90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0.56999999999999995</v>
      </c>
      <c r="C188" s="6">
        <v>1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0.11</v>
      </c>
      <c r="C191" s="6">
        <v>9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0.46</v>
      </c>
      <c r="C194" s="6">
        <v>45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0.23</v>
      </c>
      <c r="C198" s="6">
        <v>43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0.11</v>
      </c>
      <c r="C201" s="6">
        <v>60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43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31.06</v>
      </c>
      <c r="C208" s="7">
        <v>64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0.46</v>
      </c>
      <c r="C211" s="6">
        <v>1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0.68</v>
      </c>
      <c r="C214" s="6">
        <v>91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4.21</v>
      </c>
      <c r="C219" s="6">
        <v>76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3.3</v>
      </c>
      <c r="C223" s="6">
        <v>87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0.11</v>
      </c>
      <c r="C226" s="6">
        <v>44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0.34</v>
      </c>
      <c r="C229" s="6">
        <v>62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0.23</v>
      </c>
      <c r="C232" s="6">
        <v>45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0.11</v>
      </c>
      <c r="C235" s="6">
        <v>31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0.11</v>
      </c>
      <c r="C238" s="6">
        <v>95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0.46</v>
      </c>
      <c r="C242" s="6">
        <v>57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0.34</v>
      </c>
      <c r="C246" s="6">
        <v>65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</v>
      </c>
      <c r="C249" s="6">
        <v>31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</v>
      </c>
      <c r="C252" s="6">
        <v>17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0.11</v>
      </c>
      <c r="C255" s="6">
        <v>99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</v>
      </c>
      <c r="C258" s="6">
        <v>24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43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1.1399999999999999</v>
      </c>
      <c r="C266" s="6">
        <v>43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0.68</v>
      </c>
      <c r="C269" s="6">
        <v>46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0.23</v>
      </c>
      <c r="C272" s="6">
        <v>16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0.68</v>
      </c>
      <c r="C275" s="6">
        <v>73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0.23</v>
      </c>
      <c r="C278" s="6">
        <v>30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0.34</v>
      </c>
      <c r="C282" s="6">
        <v>20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1.71</v>
      </c>
      <c r="C285" s="6">
        <v>82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0.2</v>
      </c>
      <c r="C288" s="6">
        <v>2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1.37</v>
      </c>
      <c r="C291" s="6">
        <v>5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1.25</v>
      </c>
      <c r="C295" s="6">
        <v>85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</v>
      </c>
      <c r="C298" s="6">
        <v>10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1.25</v>
      </c>
      <c r="C301" s="6">
        <v>90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0.23</v>
      </c>
      <c r="C305" s="6">
        <v>10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1.37</v>
      </c>
      <c r="C308" s="6">
        <v>29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0.8</v>
      </c>
      <c r="C311" s="6">
        <v>64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</v>
      </c>
      <c r="C314" s="6">
        <v>79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51.77</v>
      </c>
      <c r="C319" s="6">
        <v>63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0.8</v>
      </c>
      <c r="C322" s="6">
        <v>55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5.12</v>
      </c>
      <c r="C325" s="6">
        <v>44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23.44</v>
      </c>
      <c r="C328" s="6">
        <v>73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24.12</v>
      </c>
      <c r="C331" s="6">
        <v>45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4.21</v>
      </c>
      <c r="C334" s="6">
        <v>50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51.77</v>
      </c>
      <c r="C337" s="6">
        <v>64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4.4400000000000004</v>
      </c>
      <c r="C341" s="6">
        <v>74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2.2799999999999998</v>
      </c>
      <c r="C344" s="6">
        <v>90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0.51300000000000001</v>
      </c>
      <c r="C347" s="6">
        <v>91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1.82</v>
      </c>
      <c r="C350" s="6">
        <v>42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0.41</v>
      </c>
      <c r="C353" s="6">
        <v>87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35.840000000000003</v>
      </c>
      <c r="C357" s="6">
        <v>80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228.7</v>
      </c>
      <c r="C360" s="6">
        <v>77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116.85</v>
      </c>
      <c r="C363" s="6">
        <v>71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3.64</v>
      </c>
      <c r="C367" s="7">
        <v>55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2.62</v>
      </c>
      <c r="C370" s="6">
        <v>78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0.91</v>
      </c>
      <c r="C373" s="6">
        <v>36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4.4400000000000004</v>
      </c>
      <c r="C376" s="6">
        <v>1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2.62</v>
      </c>
      <c r="C379" s="6">
        <v>2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41.3</v>
      </c>
      <c r="C383" s="6">
        <v>77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7.74</v>
      </c>
      <c r="C386" s="7">
        <v>55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0.34</v>
      </c>
      <c r="C391" s="7">
        <v>1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</v>
      </c>
      <c r="C394" s="7">
        <v>56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</v>
      </c>
      <c r="C397" s="6">
        <v>52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1.93</v>
      </c>
      <c r="C400" s="6">
        <v>3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0.91</v>
      </c>
      <c r="C403" s="6">
        <v>21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0.23</v>
      </c>
      <c r="C406" s="6">
        <v>49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0.56999999999999995</v>
      </c>
      <c r="C409" s="7">
        <v>1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0.23</v>
      </c>
      <c r="C413" s="7">
        <v>10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0.68</v>
      </c>
      <c r="C416" s="7">
        <v>46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</v>
      </c>
      <c r="C419" s="6">
        <v>27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</v>
      </c>
      <c r="C422" s="6">
        <v>55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50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3.19</v>
      </c>
      <c r="C428" s="6">
        <v>18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0.34</v>
      </c>
      <c r="C432" s="6">
        <v>34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1.02</v>
      </c>
      <c r="C435" s="6">
        <v>44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0.25</v>
      </c>
      <c r="C438" s="6">
        <v>23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CE7C1-74DD-8D46-9B1B-909FD9D6DF84}">
  <dimension ref="A1:C440"/>
  <sheetViews>
    <sheetView workbookViewId="0">
      <selection activeCell="F21" sqref="F21"/>
    </sheetView>
  </sheetViews>
  <sheetFormatPr baseColWidth="10" defaultRowHeight="16" x14ac:dyDescent="0.2"/>
  <sheetData>
    <row r="1" spans="1:3" x14ac:dyDescent="0.2">
      <c r="A1" s="1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0.03</v>
      </c>
      <c r="C2" s="6">
        <v>25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</v>
      </c>
      <c r="C5" s="6">
        <v>10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0.03</v>
      </c>
      <c r="C8" s="6">
        <v>7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0.03</v>
      </c>
      <c r="C11" s="6">
        <v>26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45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44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0.34</v>
      </c>
      <c r="C20" s="6">
        <v>14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0.03</v>
      </c>
      <c r="C23" s="6">
        <v>12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0.08</v>
      </c>
      <c r="C26" s="6">
        <v>58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0.08</v>
      </c>
      <c r="C29" s="6">
        <v>62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0.04</v>
      </c>
      <c r="C32" s="6">
        <v>16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0.12</v>
      </c>
      <c r="C35" s="6">
        <v>36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1.56</v>
      </c>
      <c r="C39" s="6">
        <v>70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5.53</v>
      </c>
      <c r="C42" s="6">
        <v>67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2.25</v>
      </c>
      <c r="C45" s="6">
        <v>65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0.03</v>
      </c>
      <c r="C50" s="7">
        <v>25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0.97</v>
      </c>
      <c r="C53" s="6">
        <v>48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0.12</v>
      </c>
      <c r="C56" s="6">
        <v>17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0.129</v>
      </c>
      <c r="C59" s="6">
        <v>9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0.03</v>
      </c>
      <c r="C62" s="6">
        <v>26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0.25</v>
      </c>
      <c r="C65" s="6">
        <v>50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18.8</v>
      </c>
      <c r="C68" s="6">
        <v>66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0.03</v>
      </c>
      <c r="C71" s="6">
        <v>70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</v>
      </c>
      <c r="C74" s="7">
        <v>45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</v>
      </c>
      <c r="C77" s="7">
        <v>44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0.08</v>
      </c>
      <c r="C81" s="7">
        <v>58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0.08</v>
      </c>
      <c r="C84" s="7">
        <v>62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0.09</v>
      </c>
      <c r="C87" s="6">
        <v>71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-0.05</v>
      </c>
      <c r="C90" s="6">
        <v>12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-0.05</v>
      </c>
      <c r="C93" s="6">
        <v>12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44.48</v>
      </c>
      <c r="C98" s="6">
        <v>62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52.16</v>
      </c>
      <c r="C101" s="6">
        <v>60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0.85299999999999998</v>
      </c>
      <c r="C104" s="6">
        <v>60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658.06</v>
      </c>
      <c r="C107" s="6">
        <v>47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158.27000000000001</v>
      </c>
      <c r="C110" s="6">
        <v>30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25.25</v>
      </c>
      <c r="C114" s="6">
        <v>79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27.57</v>
      </c>
      <c r="C117" s="6">
        <v>79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0.91600000000000004</v>
      </c>
      <c r="C120" s="6">
        <v>67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14.61</v>
      </c>
      <c r="C124" s="6">
        <v>34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16.89</v>
      </c>
      <c r="C127" s="6">
        <v>33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0.86499999999999999</v>
      </c>
      <c r="C130" s="6">
        <v>38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2.44</v>
      </c>
      <c r="C134" s="6">
        <v>33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4.03</v>
      </c>
      <c r="C137" s="6">
        <v>33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0.60499999999999998</v>
      </c>
      <c r="C140" s="6">
        <v>42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</v>
      </c>
      <c r="C143" s="7">
        <v>10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0.04</v>
      </c>
      <c r="C146" s="7">
        <v>16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7.0000000000000007E-2</v>
      </c>
      <c r="C149" s="6">
        <v>38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0.69</v>
      </c>
      <c r="C152" s="6">
        <v>35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3.9</v>
      </c>
      <c r="C155" s="6">
        <v>45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1</v>
      </c>
      <c r="C158" s="6">
        <v>72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0.19</v>
      </c>
      <c r="C161" s="6">
        <v>78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5.53</v>
      </c>
      <c r="C164" s="7">
        <v>67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52.16</v>
      </c>
      <c r="C169" s="7">
        <v>60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50.14</v>
      </c>
      <c r="C173" s="6">
        <v>62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1.9</v>
      </c>
      <c r="C176" s="6">
        <v>48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0.81</v>
      </c>
      <c r="C179" s="6">
        <v>35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0.16</v>
      </c>
      <c r="C182" s="6">
        <v>49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0.37</v>
      </c>
      <c r="C185" s="6">
        <v>59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1</v>
      </c>
      <c r="C188" s="6">
        <v>55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0.72</v>
      </c>
      <c r="C191" s="6">
        <v>87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0.03</v>
      </c>
      <c r="C194" s="6">
        <v>44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0.03</v>
      </c>
      <c r="C198" s="6">
        <v>55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</v>
      </c>
      <c r="C201" s="6">
        <v>30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45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44.48</v>
      </c>
      <c r="C208" s="7">
        <v>62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0.12</v>
      </c>
      <c r="C211" s="6">
        <v>70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0.84</v>
      </c>
      <c r="C214" s="6">
        <v>37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2.15</v>
      </c>
      <c r="C219" s="6">
        <v>46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1.72</v>
      </c>
      <c r="C223" s="6">
        <v>50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0.03</v>
      </c>
      <c r="C226" s="6">
        <v>39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0.12</v>
      </c>
      <c r="C229" s="6">
        <v>82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0.09</v>
      </c>
      <c r="C232" s="6">
        <v>46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0.06</v>
      </c>
      <c r="C235" s="6">
        <v>47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0.12</v>
      </c>
      <c r="C238" s="6">
        <v>92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0.06</v>
      </c>
      <c r="C242" s="6">
        <v>10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0.06</v>
      </c>
      <c r="C246" s="6">
        <v>17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</v>
      </c>
      <c r="C249" s="6">
        <v>36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</v>
      </c>
      <c r="C252" s="6">
        <v>42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</v>
      </c>
      <c r="C255" s="6">
        <v>33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</v>
      </c>
      <c r="C258" s="6">
        <v>38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44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3.34</v>
      </c>
      <c r="C266" s="6">
        <v>96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2.15</v>
      </c>
      <c r="C269" s="6">
        <v>98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1.4</v>
      </c>
      <c r="C272" s="6">
        <v>94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1.72</v>
      </c>
      <c r="C275" s="6">
        <v>98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0.22</v>
      </c>
      <c r="C278" s="6">
        <v>36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1.87</v>
      </c>
      <c r="C282" s="6">
        <v>99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3.68</v>
      </c>
      <c r="C285" s="6">
        <v>99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0.50800000000000001</v>
      </c>
      <c r="C288" s="6">
        <v>50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1.81</v>
      </c>
      <c r="C291" s="6">
        <v>2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1.31</v>
      </c>
      <c r="C295" s="6">
        <v>67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0.22</v>
      </c>
      <c r="C298" s="6">
        <v>33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1.0900000000000001</v>
      </c>
      <c r="C301" s="6">
        <v>80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0.81</v>
      </c>
      <c r="C305" s="6">
        <v>34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4.1500000000000004</v>
      </c>
      <c r="C308" s="6">
        <v>90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1.37</v>
      </c>
      <c r="C311" s="6">
        <v>40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</v>
      </c>
      <c r="C314" s="6">
        <v>89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64.430000000000007</v>
      </c>
      <c r="C319" s="6">
        <v>65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2.19</v>
      </c>
      <c r="C322" s="6">
        <v>41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13.61</v>
      </c>
      <c r="C325" s="6">
        <v>54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36.369999999999997</v>
      </c>
      <c r="C328" s="6">
        <v>65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15.42</v>
      </c>
      <c r="C331" s="6">
        <v>66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1.44</v>
      </c>
      <c r="C334" s="6">
        <v>60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64.430000000000007</v>
      </c>
      <c r="C337" s="6">
        <v>65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2.09</v>
      </c>
      <c r="C341" s="6">
        <v>82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0.84</v>
      </c>
      <c r="C344" s="6">
        <v>76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0.40300000000000002</v>
      </c>
      <c r="C347" s="6">
        <v>26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1</v>
      </c>
      <c r="C350" s="6">
        <v>17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0.47799999999999998</v>
      </c>
      <c r="C353" s="6">
        <v>34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33.93</v>
      </c>
      <c r="C357" s="6">
        <v>57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191.64</v>
      </c>
      <c r="C360" s="6">
        <v>72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79.73</v>
      </c>
      <c r="C363" s="6">
        <v>58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1.56</v>
      </c>
      <c r="C367" s="7">
        <v>70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1.4</v>
      </c>
      <c r="C370" s="6">
        <v>68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0.09</v>
      </c>
      <c r="C373" s="6">
        <v>34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1.69</v>
      </c>
      <c r="C376" s="6">
        <v>16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1.59</v>
      </c>
      <c r="C379" s="6">
        <v>3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42.8</v>
      </c>
      <c r="C383" s="6">
        <v>60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2.25</v>
      </c>
      <c r="C386" s="7">
        <v>65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0.34</v>
      </c>
      <c r="C391" s="7">
        <v>14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0.03</v>
      </c>
      <c r="C394" s="7">
        <v>12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0.03</v>
      </c>
      <c r="C397" s="6">
        <v>5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2.25</v>
      </c>
      <c r="C400" s="6">
        <v>6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1.69</v>
      </c>
      <c r="C403" s="6">
        <v>81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</v>
      </c>
      <c r="C406" s="6">
        <v>78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1</v>
      </c>
      <c r="C409" s="7">
        <v>55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0.81</v>
      </c>
      <c r="C413" s="7">
        <v>34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2.15</v>
      </c>
      <c r="C416" s="7">
        <v>98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</v>
      </c>
      <c r="C419" s="6">
        <v>42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</v>
      </c>
      <c r="C422" s="6">
        <v>63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52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5.96</v>
      </c>
      <c r="C428" s="6">
        <v>88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0.53</v>
      </c>
      <c r="C432" s="6">
        <v>25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0.72</v>
      </c>
      <c r="C435" s="6">
        <v>65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0.42499999999999999</v>
      </c>
      <c r="C438" s="6">
        <v>30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0"/>
  <sheetViews>
    <sheetView workbookViewId="0">
      <selection activeCell="D25" sqref="D25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0.14000000000000001</v>
      </c>
      <c r="C2" s="6">
        <v>80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0.11</v>
      </c>
      <c r="C5" s="6">
        <v>72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0.25</v>
      </c>
      <c r="C8" s="6">
        <v>82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0.14000000000000001</v>
      </c>
      <c r="C11" s="6">
        <v>83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46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45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0.16</v>
      </c>
      <c r="C20" s="6">
        <v>78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61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0.11</v>
      </c>
      <c r="C26" s="6">
        <v>78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0.11</v>
      </c>
      <c r="C29" s="6">
        <v>81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0.14000000000000001</v>
      </c>
      <c r="C32" s="6">
        <v>83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0.25</v>
      </c>
      <c r="C35" s="6">
        <v>84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2.87</v>
      </c>
      <c r="C39" s="6">
        <v>98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8.93</v>
      </c>
      <c r="C42" s="6">
        <v>97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3.07</v>
      </c>
      <c r="C45" s="6">
        <v>82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0.14000000000000001</v>
      </c>
      <c r="C50" s="7">
        <v>80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2.0299999999999998</v>
      </c>
      <c r="C53" s="6">
        <v>94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0.47</v>
      </c>
      <c r="C56" s="6">
        <v>82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0.23300000000000001</v>
      </c>
      <c r="C59" s="6">
        <v>38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7.0000000000000007E-2</v>
      </c>
      <c r="C62" s="6">
        <v>57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0.28999999999999998</v>
      </c>
      <c r="C65" s="6">
        <v>62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22.9</v>
      </c>
      <c r="C68" s="6">
        <v>42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7.0000000000000007E-2</v>
      </c>
      <c r="C71" s="6">
        <v>79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</v>
      </c>
      <c r="C74" s="7">
        <v>46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</v>
      </c>
      <c r="C77" s="7">
        <v>45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0.11</v>
      </c>
      <c r="C81" s="7">
        <v>78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0.11</v>
      </c>
      <c r="C84" s="7">
        <v>81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0.05</v>
      </c>
      <c r="C87" s="6">
        <v>33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0.02</v>
      </c>
      <c r="C90" s="6">
        <v>74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0.02</v>
      </c>
      <c r="C93" s="6">
        <v>75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56.79</v>
      </c>
      <c r="C98" s="6">
        <v>91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68.66</v>
      </c>
      <c r="C101" s="6">
        <v>93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0.82699999999999996</v>
      </c>
      <c r="C104" s="6">
        <v>52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924.05</v>
      </c>
      <c r="C107" s="6">
        <v>85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283.38</v>
      </c>
      <c r="C110" s="6">
        <v>85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28.94</v>
      </c>
      <c r="C114" s="6">
        <v>96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31.97</v>
      </c>
      <c r="C117" s="6">
        <v>97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0.90500000000000003</v>
      </c>
      <c r="C120" s="6">
        <v>69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22.36</v>
      </c>
      <c r="C124" s="6">
        <v>86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25.84</v>
      </c>
      <c r="C127" s="6">
        <v>87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0.86499999999999999</v>
      </c>
      <c r="C130" s="6">
        <v>42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3.87</v>
      </c>
      <c r="C134" s="6">
        <v>63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6.78</v>
      </c>
      <c r="C137" s="6">
        <v>70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0.56999999999999995</v>
      </c>
      <c r="C140" s="6">
        <v>27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0.11</v>
      </c>
      <c r="C143" s="7">
        <v>72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0.14000000000000001</v>
      </c>
      <c r="C146" s="7">
        <v>83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0.17</v>
      </c>
      <c r="C149" s="6">
        <v>88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1.7</v>
      </c>
      <c r="C152" s="6">
        <v>88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6.99</v>
      </c>
      <c r="C155" s="6">
        <v>92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1.58</v>
      </c>
      <c r="C158" s="6">
        <v>95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0.16</v>
      </c>
      <c r="C161" s="6">
        <v>70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8.93</v>
      </c>
      <c r="C164" s="7">
        <v>97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68.66</v>
      </c>
      <c r="C169" s="7">
        <v>93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65.11</v>
      </c>
      <c r="C173" s="6">
        <v>94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3.19</v>
      </c>
      <c r="C176" s="6">
        <v>72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1.63</v>
      </c>
      <c r="C179" s="6">
        <v>66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0.28999999999999998</v>
      </c>
      <c r="C182" s="6">
        <v>93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0.38</v>
      </c>
      <c r="C185" s="6">
        <v>64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1.72</v>
      </c>
      <c r="C188" s="6">
        <v>72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0.28999999999999998</v>
      </c>
      <c r="C191" s="6">
        <v>62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0.77</v>
      </c>
      <c r="C194" s="6">
        <v>75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0.45</v>
      </c>
      <c r="C198" s="6">
        <v>78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0.11</v>
      </c>
      <c r="C201" s="6">
        <v>68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45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56.79</v>
      </c>
      <c r="C208" s="7">
        <v>91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0.36</v>
      </c>
      <c r="C211" s="6">
        <v>7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1.47</v>
      </c>
      <c r="C214" s="6">
        <v>2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3.98</v>
      </c>
      <c r="C219" s="6">
        <v>92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3.28</v>
      </c>
      <c r="C223" s="6">
        <v>97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0.11</v>
      </c>
      <c r="C226" s="6">
        <v>62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0.09</v>
      </c>
      <c r="C229" s="6">
        <v>70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0.28999999999999998</v>
      </c>
      <c r="C232" s="6">
        <v>95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0.11</v>
      </c>
      <c r="C235" s="6">
        <v>66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0.09</v>
      </c>
      <c r="C238" s="6">
        <v>79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0.32</v>
      </c>
      <c r="C242" s="6">
        <v>79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0.27</v>
      </c>
      <c r="C246" s="6">
        <v>85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</v>
      </c>
      <c r="C249" s="6">
        <v>38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</v>
      </c>
      <c r="C252" s="6">
        <v>43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0.05</v>
      </c>
      <c r="C255" s="6">
        <v>87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</v>
      </c>
      <c r="C258" s="6">
        <v>40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44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2.17</v>
      </c>
      <c r="C266" s="6">
        <v>59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1.45</v>
      </c>
      <c r="C269" s="6">
        <v>67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0.93</v>
      </c>
      <c r="C272" s="6">
        <v>62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0.9</v>
      </c>
      <c r="C275" s="6">
        <v>43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0.34</v>
      </c>
      <c r="C278" s="6">
        <v>76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1.1499999999999999</v>
      </c>
      <c r="C282" s="6">
        <v>72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2.46</v>
      </c>
      <c r="C285" s="6">
        <v>80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0.46800000000000003</v>
      </c>
      <c r="C288" s="6">
        <v>36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1.31</v>
      </c>
      <c r="C291" s="6">
        <v>15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1.63</v>
      </c>
      <c r="C295" s="6">
        <v>89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0.27</v>
      </c>
      <c r="C298" s="6">
        <v>49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1.36</v>
      </c>
      <c r="C301" s="6">
        <v>92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0.63</v>
      </c>
      <c r="C305" s="6">
        <v>15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2.8</v>
      </c>
      <c r="C308" s="6">
        <v>38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1.02</v>
      </c>
      <c r="C311" s="6">
        <v>17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0.02</v>
      </c>
      <c r="C314" s="6">
        <v>61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81.05</v>
      </c>
      <c r="C319" s="6">
        <v>95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1.54</v>
      </c>
      <c r="C322" s="6">
        <v>23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14.45</v>
      </c>
      <c r="C325" s="6">
        <v>70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45.33</v>
      </c>
      <c r="C328" s="6">
        <v>90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22.38</v>
      </c>
      <c r="C331" s="6">
        <v>96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2.0099999999999998</v>
      </c>
      <c r="C334" s="6">
        <v>88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81.05</v>
      </c>
      <c r="C337" s="6">
        <v>95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2.44</v>
      </c>
      <c r="C341" s="6">
        <v>93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0.95</v>
      </c>
      <c r="C344" s="6">
        <v>84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0.38900000000000001</v>
      </c>
      <c r="C347" s="6">
        <v>17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1.29</v>
      </c>
      <c r="C350" s="6">
        <v>4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0.52800000000000002</v>
      </c>
      <c r="C353" s="6">
        <v>21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44.45</v>
      </c>
      <c r="C357" s="6">
        <v>91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238.87</v>
      </c>
      <c r="C360" s="6">
        <v>96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128.57</v>
      </c>
      <c r="C363" s="6">
        <v>98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2.87</v>
      </c>
      <c r="C367" s="7">
        <v>98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2.08</v>
      </c>
      <c r="C370" s="6">
        <v>96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0.38</v>
      </c>
      <c r="C373" s="6">
        <v>93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1.63</v>
      </c>
      <c r="C376" s="6">
        <v>23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1.22</v>
      </c>
      <c r="C379" s="6">
        <v>14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59.16</v>
      </c>
      <c r="C383" s="6">
        <v>97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3.07</v>
      </c>
      <c r="C386" s="7">
        <v>82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0.16</v>
      </c>
      <c r="C391" s="7">
        <v>78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</v>
      </c>
      <c r="C394" s="7">
        <v>61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</v>
      </c>
      <c r="C397" s="6">
        <v>56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1.85</v>
      </c>
      <c r="C400" s="6">
        <v>20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1.38</v>
      </c>
      <c r="C403" s="6">
        <v>67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0.05</v>
      </c>
      <c r="C406" s="6">
        <v>33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1.72</v>
      </c>
      <c r="C409" s="7">
        <v>72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0.63</v>
      </c>
      <c r="C413" s="7">
        <v>15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1.45</v>
      </c>
      <c r="C416" s="7">
        <v>67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0.02</v>
      </c>
      <c r="C419" s="6">
        <v>90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0.02</v>
      </c>
      <c r="C422" s="6">
        <v>19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53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6.13</v>
      </c>
      <c r="C428" s="6">
        <v>85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0.63</v>
      </c>
      <c r="C432" s="6">
        <v>31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0.56999999999999995</v>
      </c>
      <c r="C435" s="6">
        <v>84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0.52800000000000002</v>
      </c>
      <c r="C438" s="6">
        <v>66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81C8-4997-AF4E-91DF-E6B6C1C749FA}">
  <dimension ref="A1:C440"/>
  <sheetViews>
    <sheetView tabSelected="1" workbookViewId="0">
      <selection activeCell="H37" sqref="H37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0.17</v>
      </c>
      <c r="C2" s="6">
        <v>79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0.14000000000000001</v>
      </c>
      <c r="C5" s="6">
        <v>67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0.31</v>
      </c>
      <c r="C8" s="6">
        <v>80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0.17</v>
      </c>
      <c r="C11" s="6">
        <v>82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45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45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0.21</v>
      </c>
      <c r="C20" s="6">
        <v>60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58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0.14000000000000001</v>
      </c>
      <c r="C26" s="6">
        <v>69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0.14000000000000001</v>
      </c>
      <c r="C29" s="6">
        <v>72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0.13</v>
      </c>
      <c r="C32" s="6">
        <v>58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0.27</v>
      </c>
      <c r="C35" s="6">
        <v>71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1.65</v>
      </c>
      <c r="C39" s="6">
        <v>56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5.6</v>
      </c>
      <c r="C42" s="6">
        <v>73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1.34</v>
      </c>
      <c r="C45" s="6">
        <v>26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0.17</v>
      </c>
      <c r="C50" s="7">
        <v>79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2.27</v>
      </c>
      <c r="C53" s="6">
        <v>92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0.65</v>
      </c>
      <c r="C56" s="6">
        <v>87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0.28799999999999998</v>
      </c>
      <c r="C59" s="6">
        <v>48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0.08</v>
      </c>
      <c r="C62" s="6">
        <v>60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0.26</v>
      </c>
      <c r="C65" s="6">
        <v>56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21.5</v>
      </c>
      <c r="C68" s="6">
        <v>30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0.21</v>
      </c>
      <c r="C71" s="6">
        <v>93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</v>
      </c>
      <c r="C74" s="7">
        <v>45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</v>
      </c>
      <c r="C77" s="7">
        <v>45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0.14000000000000001</v>
      </c>
      <c r="C81" s="7">
        <v>69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0.14000000000000001</v>
      </c>
      <c r="C84" s="7">
        <v>72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0.06</v>
      </c>
      <c r="C87" s="6">
        <v>33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0.03</v>
      </c>
      <c r="C90" s="6">
        <v>82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0.03</v>
      </c>
      <c r="C93" s="6">
        <v>82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41.87</v>
      </c>
      <c r="C98" s="6">
        <v>60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50.67</v>
      </c>
      <c r="C101" s="6">
        <v>61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0.82599999999999996</v>
      </c>
      <c r="C104" s="6">
        <v>52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742.62</v>
      </c>
      <c r="C107" s="6">
        <v>68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224.97</v>
      </c>
      <c r="C110" s="6">
        <v>76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18.91</v>
      </c>
      <c r="C114" s="6">
        <v>47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21</v>
      </c>
      <c r="C117" s="6">
        <v>45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0.9</v>
      </c>
      <c r="C120" s="6">
        <v>59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16.260000000000002</v>
      </c>
      <c r="C124" s="6">
        <v>63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18.32</v>
      </c>
      <c r="C127" s="6">
        <v>62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0.88700000000000001</v>
      </c>
      <c r="C130" s="6">
        <v>71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5.05</v>
      </c>
      <c r="C134" s="6">
        <v>92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7.77</v>
      </c>
      <c r="C137" s="6">
        <v>82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0.65</v>
      </c>
      <c r="C140" s="6">
        <v>70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0.14000000000000001</v>
      </c>
      <c r="C143" s="7">
        <v>67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0.13</v>
      </c>
      <c r="C146" s="7">
        <v>58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0.09</v>
      </c>
      <c r="C149" s="6">
        <v>48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1.51</v>
      </c>
      <c r="C152" s="6">
        <v>73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4.74</v>
      </c>
      <c r="C155" s="6">
        <v>75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0.93</v>
      </c>
      <c r="C158" s="6">
        <v>52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0.03</v>
      </c>
      <c r="C161" s="6">
        <v>25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5.6</v>
      </c>
      <c r="C164" s="7">
        <v>73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50.67</v>
      </c>
      <c r="C169" s="7">
        <v>61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45.69</v>
      </c>
      <c r="C173" s="6">
        <v>58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4.78</v>
      </c>
      <c r="C176" s="6">
        <v>82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3.23</v>
      </c>
      <c r="C179" s="6">
        <v>96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0.14000000000000001</v>
      </c>
      <c r="C182" s="6">
        <v>42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0.83</v>
      </c>
      <c r="C185" s="6">
        <v>96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1.55</v>
      </c>
      <c r="C188" s="6">
        <v>55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0.48</v>
      </c>
      <c r="C191" s="6">
        <v>71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0.55000000000000004</v>
      </c>
      <c r="C194" s="6">
        <v>63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0.28000000000000003</v>
      </c>
      <c r="C198" s="6">
        <v>64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0.28000000000000003</v>
      </c>
      <c r="C201" s="6">
        <v>76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41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41.87</v>
      </c>
      <c r="C208" s="7">
        <v>60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0.21</v>
      </c>
      <c r="C211" s="6">
        <v>42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1.07</v>
      </c>
      <c r="C214" s="6">
        <v>31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3.58</v>
      </c>
      <c r="C219" s="6">
        <v>78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2.2999999999999998</v>
      </c>
      <c r="C223" s="6">
        <v>65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0.38</v>
      </c>
      <c r="C226" s="6">
        <v>74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0.48</v>
      </c>
      <c r="C229" s="6">
        <v>99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0.21</v>
      </c>
      <c r="C232" s="6">
        <v>77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0.1</v>
      </c>
      <c r="C235" s="6">
        <v>59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0.1</v>
      </c>
      <c r="C238" s="6">
        <v>80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0.38</v>
      </c>
      <c r="C242" s="6">
        <v>76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0.21</v>
      </c>
      <c r="C246" s="6">
        <v>58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7.0000000000000007E-2</v>
      </c>
      <c r="C249" s="6">
        <v>87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0.03</v>
      </c>
      <c r="C252" s="6">
        <v>86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0.03</v>
      </c>
      <c r="C255" s="6">
        <v>80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0.03</v>
      </c>
      <c r="C258" s="6">
        <v>85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44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1.62</v>
      </c>
      <c r="C266" s="6">
        <v>29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0.65</v>
      </c>
      <c r="C269" s="6">
        <v>15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0.55000000000000004</v>
      </c>
      <c r="C272" s="6">
        <v>29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0.72</v>
      </c>
      <c r="C275" s="6">
        <v>29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0.34</v>
      </c>
      <c r="C278" s="6">
        <v>63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0.38</v>
      </c>
      <c r="C282" s="6">
        <v>6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1.65</v>
      </c>
      <c r="C285" s="6">
        <v>32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0.22900000000000001</v>
      </c>
      <c r="C288" s="6">
        <v>2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1.27</v>
      </c>
      <c r="C291" s="6">
        <v>34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0.86</v>
      </c>
      <c r="C295" s="6">
        <v>9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0.31</v>
      </c>
      <c r="C298" s="6">
        <v>57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0.55000000000000004</v>
      </c>
      <c r="C301" s="6">
        <v>7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0.86</v>
      </c>
      <c r="C305" s="6">
        <v>49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2.48</v>
      </c>
      <c r="C308" s="6">
        <v>31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1.75</v>
      </c>
      <c r="C311" s="6">
        <v>73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7.0000000000000007E-2</v>
      </c>
      <c r="C314" s="6">
        <v>20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61.09</v>
      </c>
      <c r="C319" s="6">
        <v>62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2.5099999999999998</v>
      </c>
      <c r="C322" s="6">
        <v>54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12.86</v>
      </c>
      <c r="C325" s="6">
        <v>46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34.76</v>
      </c>
      <c r="C328" s="6">
        <v>69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14.78</v>
      </c>
      <c r="C331" s="6">
        <v>43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1.34</v>
      </c>
      <c r="C334" s="6">
        <v>41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61.09</v>
      </c>
      <c r="C337" s="6">
        <v>62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3.58</v>
      </c>
      <c r="C341" s="6">
        <v>90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2.27</v>
      </c>
      <c r="C344" s="6">
        <v>96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0.63500000000000001</v>
      </c>
      <c r="C347" s="6">
        <v>91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1.17</v>
      </c>
      <c r="C350" s="6">
        <v>18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0.32700000000000001</v>
      </c>
      <c r="C353" s="6">
        <v>79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34.58</v>
      </c>
      <c r="C357" s="6">
        <v>63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219.77</v>
      </c>
      <c r="C360" s="6">
        <v>74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96.6</v>
      </c>
      <c r="C363" s="6">
        <v>66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1.65</v>
      </c>
      <c r="C367" s="7">
        <v>56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1.68</v>
      </c>
      <c r="C370" s="6">
        <v>64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0.14000000000000001</v>
      </c>
      <c r="C373" s="6">
        <v>38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0.93</v>
      </c>
      <c r="C376" s="6">
        <v>75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1.93</v>
      </c>
      <c r="C379" s="6">
        <v>6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38.299999999999997</v>
      </c>
      <c r="C383" s="6">
        <v>56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1.34</v>
      </c>
      <c r="C386" s="7">
        <v>26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0.21</v>
      </c>
      <c r="C391" s="7">
        <v>60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</v>
      </c>
      <c r="C394" s="7">
        <v>58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</v>
      </c>
      <c r="C397" s="6">
        <v>53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0.86</v>
      </c>
      <c r="C400" s="6">
        <v>76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1.38</v>
      </c>
      <c r="C403" s="6">
        <v>70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</v>
      </c>
      <c r="C406" s="6">
        <v>82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1.55</v>
      </c>
      <c r="C409" s="7">
        <v>55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0.86</v>
      </c>
      <c r="C413" s="7">
        <v>49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0.65</v>
      </c>
      <c r="C416" s="7">
        <v>15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</v>
      </c>
      <c r="C419" s="6">
        <v>44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</v>
      </c>
      <c r="C422" s="6">
        <v>60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52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6.91</v>
      </c>
      <c r="C428" s="6">
        <v>91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1.44</v>
      </c>
      <c r="C432" s="6">
        <v>85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1.17</v>
      </c>
      <c r="C435" s="6">
        <v>36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0.55300000000000005</v>
      </c>
      <c r="C438" s="6">
        <v>79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D83F8-C6F5-F943-97AC-8604DB569CA3}">
  <dimension ref="A1:C440"/>
  <sheetViews>
    <sheetView workbookViewId="0">
      <selection activeCell="G12" sqref="G12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0.06</v>
      </c>
      <c r="C2" s="6">
        <v>42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0.33</v>
      </c>
      <c r="C5" s="6">
        <v>99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0.39</v>
      </c>
      <c r="C8" s="6">
        <v>90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0.06</v>
      </c>
      <c r="C11" s="6">
        <v>44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45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44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0.11</v>
      </c>
      <c r="C20" s="6">
        <v>83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58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0.09</v>
      </c>
      <c r="C26" s="6">
        <v>60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0.09</v>
      </c>
      <c r="C29" s="6">
        <v>64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0.22</v>
      </c>
      <c r="C32" s="6">
        <v>94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0.3</v>
      </c>
      <c r="C35" s="6">
        <v>88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3.28</v>
      </c>
      <c r="C39" s="6">
        <v>98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3.4</v>
      </c>
      <c r="C42" s="6">
        <v>17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4.34</v>
      </c>
      <c r="C45" s="6">
        <v>91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0.06</v>
      </c>
      <c r="C50" s="7">
        <v>42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1.5</v>
      </c>
      <c r="C53" s="6">
        <v>79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0.33</v>
      </c>
      <c r="C56" s="6">
        <v>62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0.222</v>
      </c>
      <c r="C59" s="6">
        <v>30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0.04</v>
      </c>
      <c r="C62" s="6">
        <v>32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0.17</v>
      </c>
      <c r="C65" s="6">
        <v>32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20.8</v>
      </c>
      <c r="C68" s="6">
        <v>40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0.11</v>
      </c>
      <c r="C71" s="6">
        <v>88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</v>
      </c>
      <c r="C74" s="7">
        <v>45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</v>
      </c>
      <c r="C77" s="7">
        <v>44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0.09</v>
      </c>
      <c r="C81" s="7">
        <v>60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0.09</v>
      </c>
      <c r="C84" s="7">
        <v>64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0.06</v>
      </c>
      <c r="C87" s="6">
        <v>34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-0.03</v>
      </c>
      <c r="C90" s="6">
        <v>22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-0.03</v>
      </c>
      <c r="C93" s="6">
        <v>22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28.61</v>
      </c>
      <c r="C98" s="6">
        <v>11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36.57</v>
      </c>
      <c r="C101" s="6">
        <v>12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0.78200000000000003</v>
      </c>
      <c r="C104" s="6">
        <v>17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467.03</v>
      </c>
      <c r="C107" s="6">
        <v>12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105.47</v>
      </c>
      <c r="C110" s="6">
        <v>7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15.25</v>
      </c>
      <c r="C114" s="6">
        <v>22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17.25</v>
      </c>
      <c r="C117" s="6">
        <v>21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0.88400000000000001</v>
      </c>
      <c r="C120" s="6">
        <v>34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9.85</v>
      </c>
      <c r="C124" s="6">
        <v>7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12.41</v>
      </c>
      <c r="C127" s="6">
        <v>9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0.79400000000000004</v>
      </c>
      <c r="C130" s="6">
        <v>6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2.62</v>
      </c>
      <c r="C134" s="6">
        <v>35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4.68</v>
      </c>
      <c r="C137" s="6">
        <v>44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0.56000000000000005</v>
      </c>
      <c r="C140" s="6">
        <v>27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0.33</v>
      </c>
      <c r="C143" s="7">
        <v>99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0.22</v>
      </c>
      <c r="C146" s="7">
        <v>94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0.16</v>
      </c>
      <c r="C149" s="6">
        <v>83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1.39</v>
      </c>
      <c r="C152" s="6">
        <v>78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1.78</v>
      </c>
      <c r="C155" s="6">
        <v>3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1.45</v>
      </c>
      <c r="C158" s="6">
        <v>91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0.45</v>
      </c>
      <c r="C161" s="6">
        <v>95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3.4</v>
      </c>
      <c r="C164" s="7">
        <v>17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36.57</v>
      </c>
      <c r="C169" s="7">
        <v>12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34.29</v>
      </c>
      <c r="C173" s="6">
        <v>12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2.17</v>
      </c>
      <c r="C176" s="6">
        <v>53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0.89</v>
      </c>
      <c r="C179" s="6">
        <v>39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0.33</v>
      </c>
      <c r="C182" s="6">
        <v>83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0.22</v>
      </c>
      <c r="C185" s="6">
        <v>39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2.73</v>
      </c>
      <c r="C188" s="6">
        <v>82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0.06</v>
      </c>
      <c r="C191" s="6">
        <v>18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0.56000000000000005</v>
      </c>
      <c r="C194" s="6">
        <v>69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0.5</v>
      </c>
      <c r="C198" s="6">
        <v>76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</v>
      </c>
      <c r="C201" s="6">
        <v>30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45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28.61</v>
      </c>
      <c r="C208" s="7">
        <v>11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0.11</v>
      </c>
      <c r="C211" s="6">
        <v>75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1</v>
      </c>
      <c r="C214" s="6">
        <v>24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2.84</v>
      </c>
      <c r="C219" s="6">
        <v>73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1.73</v>
      </c>
      <c r="C223" s="6">
        <v>51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0.39</v>
      </c>
      <c r="C226" s="6">
        <v>77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0.17</v>
      </c>
      <c r="C229" s="6">
        <v>90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0.22</v>
      </c>
      <c r="C232" s="6">
        <v>85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0.33</v>
      </c>
      <c r="C235" s="6">
        <v>99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</v>
      </c>
      <c r="C238" s="6">
        <v>14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0.5</v>
      </c>
      <c r="C242" s="6">
        <v>90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0.39</v>
      </c>
      <c r="C246" s="6">
        <v>91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0.06</v>
      </c>
      <c r="C249" s="6">
        <v>86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</v>
      </c>
      <c r="C252" s="6">
        <v>42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</v>
      </c>
      <c r="C255" s="6">
        <v>33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0.06</v>
      </c>
      <c r="C258" s="6">
        <v>96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44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2.39</v>
      </c>
      <c r="C266" s="6">
        <v>71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1.5</v>
      </c>
      <c r="C269" s="6">
        <v>79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1.1100000000000001</v>
      </c>
      <c r="C272" s="6">
        <v>78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1.17</v>
      </c>
      <c r="C275" s="6">
        <v>76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0.11</v>
      </c>
      <c r="C278" s="6">
        <v>10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0.67</v>
      </c>
      <c r="C282" s="6">
        <v>21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0.89</v>
      </c>
      <c r="C285" s="6">
        <v>3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0.75</v>
      </c>
      <c r="C288" s="6">
        <v>99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0.22</v>
      </c>
      <c r="C291" s="6">
        <v>99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0.95</v>
      </c>
      <c r="C295" s="6">
        <v>32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0.17</v>
      </c>
      <c r="C298" s="6">
        <v>21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0.78</v>
      </c>
      <c r="C301" s="6">
        <v>45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0.67</v>
      </c>
      <c r="C305" s="6">
        <v>21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3.06</v>
      </c>
      <c r="C308" s="6">
        <v>52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1.1100000000000001</v>
      </c>
      <c r="C311" s="6">
        <v>22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0.17</v>
      </c>
      <c r="C314" s="6">
        <v>7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49.98</v>
      </c>
      <c r="C319" s="6">
        <v>18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1.22</v>
      </c>
      <c r="C322" s="6">
        <v>7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7.9</v>
      </c>
      <c r="C325" s="6">
        <v>8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24.66</v>
      </c>
      <c r="C328" s="6">
        <v>11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18.309999999999999</v>
      </c>
      <c r="C331" s="6">
        <v>78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2.4500000000000002</v>
      </c>
      <c r="C334" s="6">
        <v>87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49.98</v>
      </c>
      <c r="C337" s="6">
        <v>18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2.62</v>
      </c>
      <c r="C341" s="6">
        <v>92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1.06</v>
      </c>
      <c r="C344" s="6">
        <v>86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0.40400000000000003</v>
      </c>
      <c r="C347" s="6">
        <v>26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1.06</v>
      </c>
      <c r="C350" s="6">
        <v>12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0.40400000000000003</v>
      </c>
      <c r="C353" s="6">
        <v>60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30.28</v>
      </c>
      <c r="C357" s="6">
        <v>39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191.74</v>
      </c>
      <c r="C360" s="6">
        <v>72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99.96</v>
      </c>
      <c r="C363" s="6">
        <v>80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3.28</v>
      </c>
      <c r="C367" s="7">
        <v>98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2.2799999999999998</v>
      </c>
      <c r="C370" s="6">
        <v>92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0.5</v>
      </c>
      <c r="C373" s="6">
        <v>92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2.4500000000000002</v>
      </c>
      <c r="C376" s="6">
        <v>2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1.73</v>
      </c>
      <c r="C379" s="6">
        <v>2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34.51</v>
      </c>
      <c r="C383" s="6">
        <v>36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4.34</v>
      </c>
      <c r="C386" s="7">
        <v>91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0.11</v>
      </c>
      <c r="C391" s="7">
        <v>83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</v>
      </c>
      <c r="C394" s="7">
        <v>58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1.45</v>
      </c>
      <c r="C400" s="6">
        <v>39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2.56</v>
      </c>
      <c r="C403" s="6">
        <v>97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</v>
      </c>
      <c r="C406" s="6">
        <v>78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2.73</v>
      </c>
      <c r="C409" s="7">
        <v>82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0.67</v>
      </c>
      <c r="C413" s="7">
        <v>21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1.5</v>
      </c>
      <c r="C416" s="7">
        <v>79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</v>
      </c>
      <c r="C419" s="6">
        <v>42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</v>
      </c>
      <c r="C422" s="6">
        <v>63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52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3.17</v>
      </c>
      <c r="C428" s="6">
        <v>2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0.61</v>
      </c>
      <c r="C432" s="6">
        <v>31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0.95</v>
      </c>
      <c r="C435" s="6">
        <v>43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0.39300000000000002</v>
      </c>
      <c r="C438" s="6">
        <v>20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005D-8704-E742-BAC0-37A1BD70FB5D}">
  <dimension ref="A1:C440"/>
  <sheetViews>
    <sheetView workbookViewId="0">
      <selection activeCell="G15" sqref="G15"/>
    </sheetView>
  </sheetViews>
  <sheetFormatPr baseColWidth="10" defaultRowHeight="16" x14ac:dyDescent="0.2"/>
  <cols>
    <col min="1" max="1" width="17.6640625" customWidth="1"/>
  </cols>
  <sheetData>
    <row r="1" spans="1:3" x14ac:dyDescent="0.2">
      <c r="A1" s="1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</v>
      </c>
      <c r="C2" s="6">
        <v>11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</v>
      </c>
      <c r="C5" s="6">
        <v>9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</v>
      </c>
      <c r="C8" s="6">
        <v>3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</v>
      </c>
      <c r="C11" s="6">
        <v>11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45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44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0.26</v>
      </c>
      <c r="C20" s="6">
        <v>35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59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0.01</v>
      </c>
      <c r="C26" s="6">
        <v>5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0.01</v>
      </c>
      <c r="C29" s="6">
        <v>5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0.03</v>
      </c>
      <c r="C32" s="6">
        <v>7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0.04</v>
      </c>
      <c r="C35" s="6">
        <v>2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0.54</v>
      </c>
      <c r="C39" s="6">
        <v>8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4.03</v>
      </c>
      <c r="C42" s="6">
        <v>34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0.45</v>
      </c>
      <c r="C45" s="6">
        <v>3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</v>
      </c>
      <c r="C50" s="7">
        <v>11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0.32</v>
      </c>
      <c r="C53" s="6">
        <v>5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</v>
      </c>
      <c r="C56" s="6">
        <v>2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</v>
      </c>
      <c r="C59" s="6">
        <v>2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</v>
      </c>
      <c r="C62" s="6">
        <v>11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/>
      <c r="B65" s="5"/>
      <c r="C65" s="6"/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27.1</v>
      </c>
      <c r="C68" s="6">
        <v>5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</v>
      </c>
      <c r="C71" s="6">
        <v>34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</v>
      </c>
      <c r="C74" s="7">
        <v>45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</v>
      </c>
      <c r="C77" s="7">
        <v>44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0.01</v>
      </c>
      <c r="C81" s="7">
        <v>5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0.01</v>
      </c>
      <c r="C84" s="7">
        <v>5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0.04</v>
      </c>
      <c r="C87" s="6">
        <v>10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-0.01</v>
      </c>
      <c r="C90" s="6">
        <v>41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-0.01</v>
      </c>
      <c r="C93" s="6">
        <v>40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45</v>
      </c>
      <c r="C98" s="6">
        <v>63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48.81</v>
      </c>
      <c r="C101" s="6">
        <v>49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0.92200000000000004</v>
      </c>
      <c r="C104" s="6">
        <v>96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716.32</v>
      </c>
      <c r="C107" s="6">
        <v>57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201.75</v>
      </c>
      <c r="C110" s="6">
        <v>54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23.12</v>
      </c>
      <c r="C114" s="6">
        <v>70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24.34</v>
      </c>
      <c r="C117" s="6">
        <v>65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0.95</v>
      </c>
      <c r="C120" s="6">
        <v>95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17.53</v>
      </c>
      <c r="C124" s="6">
        <v>55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18.55</v>
      </c>
      <c r="C127" s="6">
        <v>46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0.94499999999999995</v>
      </c>
      <c r="C130" s="6">
        <v>96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2.88</v>
      </c>
      <c r="C134" s="6">
        <v>42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3.65</v>
      </c>
      <c r="C137" s="6">
        <v>28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0.78900000000000003</v>
      </c>
      <c r="C140" s="6">
        <v>93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</v>
      </c>
      <c r="C143" s="7">
        <v>9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0.03</v>
      </c>
      <c r="C146" s="7">
        <v>7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0.02</v>
      </c>
      <c r="C149" s="6">
        <v>1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0.51</v>
      </c>
      <c r="C152" s="6">
        <v>12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4.09</v>
      </c>
      <c r="C155" s="6">
        <v>49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0.22</v>
      </c>
      <c r="C158" s="6">
        <v>6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0.03</v>
      </c>
      <c r="C161" s="6">
        <v>18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4.03</v>
      </c>
      <c r="C164" s="7">
        <v>34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48.81</v>
      </c>
      <c r="C169" s="7">
        <v>49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47.69</v>
      </c>
      <c r="C173" s="6">
        <v>55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1.02</v>
      </c>
      <c r="C176" s="6">
        <v>22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0.86</v>
      </c>
      <c r="C179" s="6">
        <v>37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0.13</v>
      </c>
      <c r="C182" s="6">
        <v>41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0.45</v>
      </c>
      <c r="C185" s="6">
        <v>69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0.03</v>
      </c>
      <c r="C188" s="6">
        <v>2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0.1</v>
      </c>
      <c r="C191" s="6">
        <v>28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</v>
      </c>
      <c r="C194" s="6">
        <v>22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6">
        <v>27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</v>
      </c>
      <c r="C201" s="6">
        <v>30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46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45</v>
      </c>
      <c r="C208" s="7">
        <v>63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0.1</v>
      </c>
      <c r="C211" s="6">
        <v>76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0.51</v>
      </c>
      <c r="C214" s="6">
        <v>83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1.6</v>
      </c>
      <c r="C219" s="6">
        <v>21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1.22</v>
      </c>
      <c r="C223" s="6">
        <v>17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0.13</v>
      </c>
      <c r="C226" s="6">
        <v>61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0.06</v>
      </c>
      <c r="C229" s="6">
        <v>57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</v>
      </c>
      <c r="C232" s="6">
        <v>7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0.06</v>
      </c>
      <c r="C235" s="6">
        <v>49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0.13</v>
      </c>
      <c r="C238" s="6">
        <v>93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0.1</v>
      </c>
      <c r="C242" s="6">
        <v>15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0.06</v>
      </c>
      <c r="C246" s="6">
        <v>18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0.03</v>
      </c>
      <c r="C249" s="6">
        <v>75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</v>
      </c>
      <c r="C252" s="6">
        <v>42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</v>
      </c>
      <c r="C255" s="6">
        <v>33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</v>
      </c>
      <c r="C258" s="6">
        <v>38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44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3.17</v>
      </c>
      <c r="C266" s="6">
        <v>94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1.86</v>
      </c>
      <c r="C269" s="6">
        <v>93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1.44</v>
      </c>
      <c r="C272" s="6">
        <v>95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1.38</v>
      </c>
      <c r="C275" s="6">
        <v>87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0.35</v>
      </c>
      <c r="C278" s="6">
        <v>75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1.28</v>
      </c>
      <c r="C282" s="6">
        <v>83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2.56</v>
      </c>
      <c r="C285" s="6">
        <v>86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0.5</v>
      </c>
      <c r="C288" s="6">
        <v>49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1.28</v>
      </c>
      <c r="C291" s="6">
        <v>18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1.31</v>
      </c>
      <c r="C295" s="6">
        <v>67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0.32</v>
      </c>
      <c r="C298" s="6">
        <v>59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0.99</v>
      </c>
      <c r="C301" s="6">
        <v>69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1.38</v>
      </c>
      <c r="C305" s="6">
        <v>83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4.54</v>
      </c>
      <c r="C308" s="6">
        <v>96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1.31</v>
      </c>
      <c r="C311" s="6">
        <v>36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0.13</v>
      </c>
      <c r="C314" s="6">
        <v>13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58.82</v>
      </c>
      <c r="C319" s="6">
        <v>47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2.91</v>
      </c>
      <c r="C322" s="6">
        <v>69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15.83</v>
      </c>
      <c r="C325" s="6">
        <v>76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38.19</v>
      </c>
      <c r="C328" s="6">
        <v>73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5.57</v>
      </c>
      <c r="C331" s="6">
        <v>2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0.13</v>
      </c>
      <c r="C334" s="6">
        <v>2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58.82</v>
      </c>
      <c r="C337" s="6">
        <v>47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1.25</v>
      </c>
      <c r="C341" s="6">
        <v>49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0.54</v>
      </c>
      <c r="C344" s="6">
        <v>47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0.436</v>
      </c>
      <c r="C347" s="6">
        <v>39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0.48</v>
      </c>
      <c r="C350" s="6">
        <v>52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0.38500000000000001</v>
      </c>
      <c r="C353" s="6">
        <v>67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32.97</v>
      </c>
      <c r="C357" s="6">
        <v>53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141.97</v>
      </c>
      <c r="C360" s="6">
        <v>39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63.87</v>
      </c>
      <c r="C363" s="6">
        <v>36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0.54</v>
      </c>
      <c r="C367" s="7">
        <v>8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0.64</v>
      </c>
      <c r="C370" s="6">
        <v>13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</v>
      </c>
      <c r="C373" s="6">
        <v>5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1.06</v>
      </c>
      <c r="C376" s="6">
        <v>61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0.77</v>
      </c>
      <c r="C379" s="6">
        <v>52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39.21</v>
      </c>
      <c r="C383" s="6">
        <v>50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0.45</v>
      </c>
      <c r="C386" s="7">
        <v>3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0.26</v>
      </c>
      <c r="C391" s="7">
        <v>35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</v>
      </c>
      <c r="C394" s="7">
        <v>59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1.28</v>
      </c>
      <c r="C400" s="6">
        <v>51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1.22</v>
      </c>
      <c r="C403" s="6">
        <v>56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</v>
      </c>
      <c r="C406" s="6">
        <v>77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0.03</v>
      </c>
      <c r="C409" s="7">
        <v>2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1.38</v>
      </c>
      <c r="C413" s="7">
        <v>83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1.86</v>
      </c>
      <c r="C416" s="7">
        <v>93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</v>
      </c>
      <c r="C419" s="6">
        <v>41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0.03</v>
      </c>
      <c r="C422" s="6">
        <v>21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52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7.16</v>
      </c>
      <c r="C428" s="6">
        <v>98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0.1</v>
      </c>
      <c r="C432" s="6">
        <v>2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0.35</v>
      </c>
      <c r="C435" s="6">
        <v>94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0.214</v>
      </c>
      <c r="C438" s="6">
        <v>4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160B0-5B85-554C-B9B5-0D0FA596201B}">
  <dimension ref="A1:C437"/>
  <sheetViews>
    <sheetView workbookViewId="0">
      <selection activeCell="G17" sqref="G17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</v>
      </c>
      <c r="C2" s="6">
        <v>16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0.12</v>
      </c>
      <c r="C5" s="6">
        <v>77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0.12</v>
      </c>
      <c r="C8" s="6">
        <v>48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</v>
      </c>
      <c r="C11" s="6">
        <v>16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46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45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</v>
      </c>
      <c r="C20" s="6">
        <v>99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61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0.05</v>
      </c>
      <c r="C26" s="6">
        <v>39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0.05</v>
      </c>
      <c r="C29" s="6">
        <v>40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0.11</v>
      </c>
      <c r="C32" s="6">
        <v>77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0.16</v>
      </c>
      <c r="C35" s="6">
        <v>61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0.12</v>
      </c>
      <c r="C39" s="6">
        <v>1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6.2</v>
      </c>
      <c r="C42" s="6">
        <v>80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0.73</v>
      </c>
      <c r="C45" s="6">
        <v>14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</v>
      </c>
      <c r="C50" s="7">
        <v>16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1.34</v>
      </c>
      <c r="C53" s="6">
        <v>78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</v>
      </c>
      <c r="C56" s="6">
        <v>2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</v>
      </c>
      <c r="C59" s="6">
        <v>2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</v>
      </c>
      <c r="C62" s="6">
        <v>16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24</v>
      </c>
      <c r="B65" s="5">
        <v>25.5</v>
      </c>
      <c r="C65" s="6">
        <v>18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25</v>
      </c>
      <c r="B68" s="5">
        <v>0.24</v>
      </c>
      <c r="C68" s="6">
        <v>94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8</v>
      </c>
      <c r="B71" s="7">
        <v>0</v>
      </c>
      <c r="C71" s="7">
        <v>46</v>
      </c>
    </row>
    <row r="72" spans="1:3" x14ac:dyDescent="0.2">
      <c r="A72" s="5"/>
      <c r="B72" s="7"/>
      <c r="C72" s="7"/>
    </row>
    <row r="73" spans="1:3" x14ac:dyDescent="0.2">
      <c r="A73" s="5"/>
      <c r="B73" s="7"/>
      <c r="C73" s="7"/>
    </row>
    <row r="74" spans="1:3" x14ac:dyDescent="0.2">
      <c r="A74" s="5" t="s">
        <v>9</v>
      </c>
      <c r="B74" s="7">
        <v>0</v>
      </c>
      <c r="C74" s="7">
        <v>45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2"/>
      <c r="B77" s="2"/>
      <c r="C77" s="2"/>
    </row>
    <row r="78" spans="1:3" x14ac:dyDescent="0.2">
      <c r="A78" s="5" t="s">
        <v>12</v>
      </c>
      <c r="B78" s="7">
        <v>0.05</v>
      </c>
      <c r="C78" s="7">
        <v>39</v>
      </c>
    </row>
    <row r="79" spans="1:3" x14ac:dyDescent="0.2">
      <c r="A79" s="5"/>
      <c r="B79" s="7"/>
      <c r="C79" s="7"/>
    </row>
    <row r="80" spans="1:3" x14ac:dyDescent="0.2">
      <c r="A80" s="5"/>
      <c r="B80" s="7"/>
      <c r="C80" s="7"/>
    </row>
    <row r="81" spans="1:3" x14ac:dyDescent="0.2">
      <c r="A81" s="5" t="s">
        <v>13</v>
      </c>
      <c r="B81" s="7">
        <v>0.05</v>
      </c>
      <c r="C81" s="7">
        <v>40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26</v>
      </c>
      <c r="B84" s="5">
        <v>0.04</v>
      </c>
      <c r="C84" s="6">
        <v>19</v>
      </c>
    </row>
    <row r="85" spans="1:3" x14ac:dyDescent="0.2">
      <c r="A85" s="5"/>
      <c r="B85" s="5"/>
      <c r="C85" s="6"/>
    </row>
    <row r="86" spans="1:3" x14ac:dyDescent="0.2">
      <c r="A86" s="5"/>
      <c r="B86" s="5"/>
      <c r="C86" s="6"/>
    </row>
    <row r="87" spans="1:3" x14ac:dyDescent="0.2">
      <c r="A87" s="5" t="s">
        <v>27</v>
      </c>
      <c r="B87" s="5">
        <v>-0.05</v>
      </c>
      <c r="C87" s="6">
        <v>13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28</v>
      </c>
      <c r="B90" s="5">
        <v>-0.05</v>
      </c>
      <c r="C90" s="6">
        <v>12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3" t="s">
        <v>124</v>
      </c>
    </row>
    <row r="94" spans="1:3" x14ac:dyDescent="0.2">
      <c r="A94" s="3" t="s">
        <v>121</v>
      </c>
      <c r="B94" s="3" t="s">
        <v>122</v>
      </c>
      <c r="C94" s="3" t="s">
        <v>3</v>
      </c>
    </row>
    <row r="95" spans="1:3" x14ac:dyDescent="0.2">
      <c r="A95" s="5" t="s">
        <v>29</v>
      </c>
      <c r="B95" s="5">
        <v>45.49</v>
      </c>
      <c r="C95" s="6">
        <v>72</v>
      </c>
    </row>
    <row r="96" spans="1:3" x14ac:dyDescent="0.2">
      <c r="A96" s="5"/>
      <c r="B96" s="5"/>
      <c r="C96" s="6"/>
    </row>
    <row r="97" spans="1:3" x14ac:dyDescent="0.2">
      <c r="A97" s="5"/>
      <c r="B97" s="5"/>
      <c r="C97" s="6"/>
    </row>
    <row r="98" spans="1:3" x14ac:dyDescent="0.2">
      <c r="A98" s="5" t="s">
        <v>30</v>
      </c>
      <c r="B98" s="5">
        <v>56.19</v>
      </c>
      <c r="C98" s="6">
        <v>78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31</v>
      </c>
      <c r="B101" s="8">
        <v>0.81</v>
      </c>
      <c r="C101" s="6">
        <v>40</v>
      </c>
    </row>
    <row r="102" spans="1:3" x14ac:dyDescent="0.2">
      <c r="A102" s="5"/>
      <c r="B102" s="8"/>
      <c r="C102" s="6"/>
    </row>
    <row r="103" spans="1:3" x14ac:dyDescent="0.2">
      <c r="A103" s="5"/>
      <c r="B103" s="8"/>
      <c r="C103" s="6"/>
    </row>
    <row r="104" spans="1:3" x14ac:dyDescent="0.2">
      <c r="A104" s="5" t="s">
        <v>32</v>
      </c>
      <c r="B104" s="5">
        <v>898.42</v>
      </c>
      <c r="C104" s="6">
        <v>83</v>
      </c>
    </row>
    <row r="105" spans="1:3" x14ac:dyDescent="0.2">
      <c r="A105" s="5"/>
      <c r="B105" s="5"/>
      <c r="C105" s="6"/>
    </row>
    <row r="106" spans="1:3" x14ac:dyDescent="0.2">
      <c r="A106" s="5"/>
      <c r="B106" s="5"/>
      <c r="C106" s="6"/>
    </row>
    <row r="107" spans="1:3" x14ac:dyDescent="0.2">
      <c r="A107" s="5" t="s">
        <v>33</v>
      </c>
      <c r="B107" s="5">
        <v>252.85</v>
      </c>
      <c r="C107" s="6">
        <v>76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2"/>
      <c r="B110" s="2"/>
      <c r="C110" s="2"/>
    </row>
    <row r="111" spans="1:3" x14ac:dyDescent="0.2">
      <c r="A111" s="5" t="s">
        <v>34</v>
      </c>
      <c r="B111" s="5">
        <v>17.39</v>
      </c>
      <c r="C111" s="6">
        <v>50</v>
      </c>
    </row>
    <row r="112" spans="1:3" x14ac:dyDescent="0.2">
      <c r="A112" s="5"/>
      <c r="B112" s="5"/>
      <c r="C112" s="6"/>
    </row>
    <row r="113" spans="1:3" x14ac:dyDescent="0.2">
      <c r="A113" s="5"/>
      <c r="B113" s="5"/>
      <c r="C113" s="6"/>
    </row>
    <row r="114" spans="1:3" x14ac:dyDescent="0.2">
      <c r="A114" s="5" t="s">
        <v>35</v>
      </c>
      <c r="B114" s="5">
        <v>18.850000000000001</v>
      </c>
      <c r="C114" s="6">
        <v>44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36</v>
      </c>
      <c r="B117" s="8">
        <v>0.92300000000000004</v>
      </c>
      <c r="C117" s="6">
        <v>85</v>
      </c>
    </row>
    <row r="118" spans="1:3" x14ac:dyDescent="0.2">
      <c r="A118" s="5"/>
      <c r="B118" s="8"/>
      <c r="C118" s="6"/>
    </row>
    <row r="119" spans="1:3" x14ac:dyDescent="0.2">
      <c r="A119" s="5"/>
      <c r="B119" s="8"/>
      <c r="C119" s="6"/>
    </row>
    <row r="120" spans="1:3" x14ac:dyDescent="0.2">
      <c r="A120" s="2"/>
      <c r="B120" s="2"/>
      <c r="C120" s="2"/>
    </row>
    <row r="121" spans="1:3" x14ac:dyDescent="0.2">
      <c r="A121" s="5" t="s">
        <v>37</v>
      </c>
      <c r="B121" s="5">
        <v>19.7</v>
      </c>
      <c r="C121" s="6">
        <v>74</v>
      </c>
    </row>
    <row r="122" spans="1:3" x14ac:dyDescent="0.2">
      <c r="A122" s="5"/>
      <c r="B122" s="5"/>
      <c r="C122" s="6"/>
    </row>
    <row r="123" spans="1:3" x14ac:dyDescent="0.2">
      <c r="A123" s="5"/>
      <c r="B123" s="5"/>
      <c r="C123" s="6"/>
    </row>
    <row r="124" spans="1:3" x14ac:dyDescent="0.2">
      <c r="A124" s="5" t="s">
        <v>38</v>
      </c>
      <c r="B124" s="5">
        <v>23.11</v>
      </c>
      <c r="C124" s="6">
        <v>80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39</v>
      </c>
      <c r="B127" s="8">
        <v>0.85299999999999998</v>
      </c>
      <c r="C127" s="6">
        <v>35</v>
      </c>
    </row>
    <row r="128" spans="1:3" x14ac:dyDescent="0.2">
      <c r="A128" s="5"/>
      <c r="B128" s="8"/>
      <c r="C128" s="6"/>
    </row>
    <row r="129" spans="1:3" x14ac:dyDescent="0.2">
      <c r="A129" s="5"/>
      <c r="B129" s="8"/>
      <c r="C129" s="6"/>
    </row>
    <row r="130" spans="1:3" x14ac:dyDescent="0.2">
      <c r="A130" s="2"/>
      <c r="B130" s="2"/>
      <c r="C130" s="2"/>
    </row>
    <row r="131" spans="1:3" x14ac:dyDescent="0.2">
      <c r="A131" s="5" t="s">
        <v>40</v>
      </c>
      <c r="B131" s="5">
        <v>7.54</v>
      </c>
      <c r="C131" s="6">
        <v>96</v>
      </c>
    </row>
    <row r="132" spans="1:3" x14ac:dyDescent="0.2">
      <c r="A132" s="5"/>
      <c r="B132" s="5"/>
      <c r="C132" s="6"/>
    </row>
    <row r="133" spans="1:3" x14ac:dyDescent="0.2">
      <c r="A133" s="5"/>
      <c r="B133" s="5"/>
      <c r="C133" s="6"/>
    </row>
    <row r="134" spans="1:3" x14ac:dyDescent="0.2">
      <c r="A134" s="5" t="s">
        <v>41</v>
      </c>
      <c r="B134" s="5">
        <v>12.77</v>
      </c>
      <c r="C134" s="6">
        <v>96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42</v>
      </c>
      <c r="B137" s="8">
        <v>0.59</v>
      </c>
      <c r="C137" s="6">
        <v>35</v>
      </c>
    </row>
    <row r="138" spans="1:3" x14ac:dyDescent="0.2">
      <c r="A138" s="5"/>
      <c r="B138" s="8"/>
      <c r="C138" s="6"/>
    </row>
    <row r="139" spans="1:3" x14ac:dyDescent="0.2">
      <c r="A139" s="5"/>
      <c r="B139" s="8"/>
      <c r="C139" s="6"/>
    </row>
    <row r="140" spans="1:3" x14ac:dyDescent="0.2">
      <c r="A140" s="5" t="s">
        <v>5</v>
      </c>
      <c r="B140" s="7">
        <v>0.12</v>
      </c>
      <c r="C140" s="7">
        <v>77</v>
      </c>
    </row>
    <row r="141" spans="1:3" x14ac:dyDescent="0.2">
      <c r="A141" s="5"/>
      <c r="B141" s="7"/>
      <c r="C141" s="7"/>
    </row>
    <row r="142" spans="1:3" x14ac:dyDescent="0.2">
      <c r="A142" s="5"/>
      <c r="B142" s="7"/>
      <c r="C142" s="7"/>
    </row>
    <row r="143" spans="1:3" x14ac:dyDescent="0.2">
      <c r="A143" s="5" t="s">
        <v>14</v>
      </c>
      <c r="B143" s="7">
        <v>0.11</v>
      </c>
      <c r="C143" s="7">
        <v>77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43</v>
      </c>
      <c r="B146" s="5">
        <v>0.13</v>
      </c>
      <c r="C146" s="6">
        <v>80</v>
      </c>
    </row>
    <row r="147" spans="1:3" x14ac:dyDescent="0.2">
      <c r="A147" s="5"/>
      <c r="B147" s="5"/>
      <c r="C147" s="6"/>
    </row>
    <row r="148" spans="1:3" x14ac:dyDescent="0.2">
      <c r="A148" s="5"/>
      <c r="B148" s="5"/>
      <c r="C148" s="6"/>
    </row>
    <row r="149" spans="1:3" x14ac:dyDescent="0.2">
      <c r="A149" s="5" t="s">
        <v>44</v>
      </c>
      <c r="B149" s="5">
        <v>1.58</v>
      </c>
      <c r="C149" s="6">
        <v>85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45</v>
      </c>
      <c r="B152" s="5">
        <v>5.72</v>
      </c>
      <c r="C152" s="6">
        <v>79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46</v>
      </c>
      <c r="B155" s="5">
        <v>0.85</v>
      </c>
      <c r="C155" s="6">
        <v>69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47</v>
      </c>
      <c r="B158" s="5">
        <v>0.24</v>
      </c>
      <c r="C158" s="6">
        <v>82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17</v>
      </c>
      <c r="B161" s="7">
        <v>6.2</v>
      </c>
      <c r="C161" s="7">
        <v>80</v>
      </c>
    </row>
    <row r="162" spans="1:3" x14ac:dyDescent="0.2">
      <c r="A162" s="5"/>
      <c r="B162" s="7"/>
      <c r="C162" s="7"/>
    </row>
    <row r="163" spans="1:3" x14ac:dyDescent="0.2">
      <c r="A163" s="5"/>
      <c r="B163" s="7"/>
      <c r="C163" s="7"/>
    </row>
    <row r="164" spans="1:3" x14ac:dyDescent="0.2">
      <c r="A164" s="3" t="s">
        <v>125</v>
      </c>
    </row>
    <row r="165" spans="1:3" x14ac:dyDescent="0.2">
      <c r="A165" s="3" t="s">
        <v>121</v>
      </c>
      <c r="B165" s="3" t="s">
        <v>122</v>
      </c>
      <c r="C165" s="3" t="s">
        <v>3</v>
      </c>
    </row>
    <row r="166" spans="1:3" x14ac:dyDescent="0.2">
      <c r="A166" s="5" t="s">
        <v>30</v>
      </c>
      <c r="B166" s="7">
        <v>56.19</v>
      </c>
      <c r="C166" s="7">
        <v>78</v>
      </c>
    </row>
    <row r="167" spans="1:3" x14ac:dyDescent="0.2">
      <c r="A167" s="5"/>
      <c r="B167" s="7"/>
      <c r="C167" s="7"/>
    </row>
    <row r="168" spans="1:3" x14ac:dyDescent="0.2">
      <c r="A168" s="5"/>
      <c r="B168" s="7"/>
      <c r="C168" s="7"/>
    </row>
    <row r="169" spans="1:3" x14ac:dyDescent="0.2">
      <c r="A169" s="2"/>
      <c r="B169" s="2"/>
      <c r="C169" s="2"/>
    </row>
    <row r="170" spans="1:3" x14ac:dyDescent="0.2">
      <c r="A170" s="5" t="s">
        <v>48</v>
      </c>
      <c r="B170" s="5">
        <v>50.96</v>
      </c>
      <c r="C170" s="6">
        <v>73</v>
      </c>
    </row>
    <row r="171" spans="1:3" x14ac:dyDescent="0.2">
      <c r="A171" s="5"/>
      <c r="B171" s="5"/>
      <c r="C171" s="6"/>
    </row>
    <row r="172" spans="1:3" x14ac:dyDescent="0.2">
      <c r="A172" s="5"/>
      <c r="B172" s="5"/>
      <c r="C172" s="6"/>
    </row>
    <row r="173" spans="1:3" x14ac:dyDescent="0.2">
      <c r="A173" s="5" t="s">
        <v>49</v>
      </c>
      <c r="B173" s="5">
        <v>5.1100000000000003</v>
      </c>
      <c r="C173" s="6">
        <v>87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50</v>
      </c>
      <c r="B176" s="5">
        <v>1.95</v>
      </c>
      <c r="C176" s="6">
        <v>75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51</v>
      </c>
      <c r="B179" s="5">
        <v>0.36</v>
      </c>
      <c r="C179" s="6">
        <v>96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52</v>
      </c>
      <c r="B182" s="5">
        <v>0.12</v>
      </c>
      <c r="C182" s="6">
        <v>19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53</v>
      </c>
      <c r="B185" s="5">
        <v>3.77</v>
      </c>
      <c r="C185" s="6">
        <v>89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54</v>
      </c>
      <c r="B188" s="5">
        <v>0.36</v>
      </c>
      <c r="C188" s="6">
        <v>73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55</v>
      </c>
      <c r="B191" s="5">
        <v>2.19</v>
      </c>
      <c r="C191" s="6">
        <v>89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2"/>
      <c r="B194" s="2"/>
      <c r="C194" s="2"/>
    </row>
    <row r="195" spans="1:3" x14ac:dyDescent="0.2">
      <c r="A195" s="5" t="s">
        <v>56</v>
      </c>
      <c r="B195" s="5">
        <v>1.95</v>
      </c>
      <c r="C195" s="6">
        <v>99</v>
      </c>
    </row>
    <row r="196" spans="1:3" x14ac:dyDescent="0.2">
      <c r="A196" s="5"/>
      <c r="B196" s="5"/>
      <c r="C196" s="6"/>
    </row>
    <row r="197" spans="1:3" x14ac:dyDescent="0.2">
      <c r="A197" s="5"/>
      <c r="B197" s="5"/>
      <c r="C197" s="6"/>
    </row>
    <row r="198" spans="1:3" x14ac:dyDescent="0.2">
      <c r="A198" s="5" t="s">
        <v>57</v>
      </c>
      <c r="B198" s="5">
        <v>0.12</v>
      </c>
      <c r="C198" s="6">
        <v>69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58</v>
      </c>
      <c r="B201" s="5">
        <v>0</v>
      </c>
      <c r="C201" s="6">
        <v>45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2"/>
      <c r="B204" s="2"/>
      <c r="C204" s="2"/>
    </row>
    <row r="205" spans="1:3" x14ac:dyDescent="0.2">
      <c r="A205" s="5" t="s">
        <v>29</v>
      </c>
      <c r="B205" s="7">
        <v>45.49</v>
      </c>
      <c r="C205" s="7">
        <v>72</v>
      </c>
    </row>
    <row r="206" spans="1:3" x14ac:dyDescent="0.2">
      <c r="A206" s="5"/>
      <c r="B206" s="7"/>
      <c r="C206" s="7"/>
    </row>
    <row r="207" spans="1:3" x14ac:dyDescent="0.2">
      <c r="A207" s="5"/>
      <c r="B207" s="7"/>
      <c r="C207" s="7"/>
    </row>
    <row r="208" spans="1:3" x14ac:dyDescent="0.2">
      <c r="A208" s="5" t="s">
        <v>59</v>
      </c>
      <c r="B208" s="5">
        <v>0.12</v>
      </c>
      <c r="C208" s="6">
        <v>63</v>
      </c>
    </row>
    <row r="209" spans="1:3" x14ac:dyDescent="0.2">
      <c r="A209" s="5"/>
      <c r="B209" s="5"/>
      <c r="C209" s="6"/>
    </row>
    <row r="210" spans="1:3" x14ac:dyDescent="0.2">
      <c r="A210" s="5"/>
      <c r="B210" s="5"/>
      <c r="C210" s="6"/>
    </row>
    <row r="211" spans="1:3" x14ac:dyDescent="0.2">
      <c r="A211" s="5" t="s">
        <v>60</v>
      </c>
      <c r="B211" s="5">
        <v>0.49</v>
      </c>
      <c r="C211" s="6">
        <v>89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3" t="s">
        <v>126</v>
      </c>
    </row>
    <row r="215" spans="1:3" x14ac:dyDescent="0.2">
      <c r="A215" s="3" t="s">
        <v>121</v>
      </c>
      <c r="B215" s="3" t="s">
        <v>122</v>
      </c>
      <c r="C215" s="3" t="s">
        <v>3</v>
      </c>
    </row>
    <row r="216" spans="1:3" x14ac:dyDescent="0.2">
      <c r="A216" s="5" t="s">
        <v>61</v>
      </c>
      <c r="B216" s="5">
        <v>3.53</v>
      </c>
      <c r="C216" s="6">
        <v>85</v>
      </c>
    </row>
    <row r="217" spans="1:3" x14ac:dyDescent="0.2">
      <c r="A217" s="5"/>
      <c r="B217" s="5"/>
      <c r="C217" s="6"/>
    </row>
    <row r="218" spans="1:3" x14ac:dyDescent="0.2">
      <c r="A218" s="5"/>
      <c r="B218" s="5"/>
      <c r="C218" s="6"/>
    </row>
    <row r="219" spans="1:3" x14ac:dyDescent="0.2">
      <c r="A219" s="2"/>
      <c r="B219" s="2"/>
      <c r="C219" s="2"/>
    </row>
    <row r="220" spans="1:3" x14ac:dyDescent="0.2">
      <c r="A220" s="5" t="s">
        <v>62</v>
      </c>
      <c r="B220" s="5">
        <v>2.0699999999999998</v>
      </c>
      <c r="C220" s="6">
        <v>67</v>
      </c>
    </row>
    <row r="221" spans="1:3" x14ac:dyDescent="0.2">
      <c r="A221" s="5"/>
      <c r="B221" s="5"/>
      <c r="C221" s="6"/>
    </row>
    <row r="222" spans="1:3" x14ac:dyDescent="0.2">
      <c r="A222" s="5"/>
      <c r="B222" s="5"/>
      <c r="C222" s="6"/>
    </row>
    <row r="223" spans="1:3" x14ac:dyDescent="0.2">
      <c r="A223" s="5" t="s">
        <v>63</v>
      </c>
      <c r="B223" s="5">
        <v>1.0900000000000001</v>
      </c>
      <c r="C223" s="6">
        <v>93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64</v>
      </c>
      <c r="B226" s="5">
        <v>0.12</v>
      </c>
      <c r="C226" s="6">
        <v>80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65</v>
      </c>
      <c r="B229" s="5">
        <v>0</v>
      </c>
      <c r="C229" s="6">
        <v>8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66</v>
      </c>
      <c r="B232" s="5">
        <v>0.12</v>
      </c>
      <c r="C232" s="6">
        <v>69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67</v>
      </c>
      <c r="B235" s="5">
        <v>0.12</v>
      </c>
      <c r="C235" s="6">
        <v>87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2"/>
      <c r="B238" s="2"/>
      <c r="C238" s="2"/>
    </row>
    <row r="239" spans="1:3" x14ac:dyDescent="0.2">
      <c r="A239" s="5" t="s">
        <v>68</v>
      </c>
      <c r="B239" s="5">
        <v>0.36</v>
      </c>
      <c r="C239" s="6">
        <v>87</v>
      </c>
    </row>
    <row r="240" spans="1:3" x14ac:dyDescent="0.2">
      <c r="A240" s="5"/>
      <c r="B240" s="5"/>
      <c r="C240" s="6"/>
    </row>
    <row r="241" spans="1:3" x14ac:dyDescent="0.2">
      <c r="A241" s="5"/>
      <c r="B241" s="5"/>
      <c r="C241" s="6"/>
    </row>
    <row r="242" spans="1:3" x14ac:dyDescent="0.2">
      <c r="A242" s="2"/>
      <c r="B242" s="2"/>
      <c r="C242" s="2"/>
    </row>
    <row r="243" spans="1:3" x14ac:dyDescent="0.2">
      <c r="A243" s="5" t="s">
        <v>69</v>
      </c>
      <c r="B243" s="5">
        <v>0.24</v>
      </c>
      <c r="C243" s="6">
        <v>79</v>
      </c>
    </row>
    <row r="244" spans="1:3" x14ac:dyDescent="0.2">
      <c r="A244" s="5"/>
      <c r="B244" s="5"/>
      <c r="C244" s="6"/>
    </row>
    <row r="245" spans="1:3" x14ac:dyDescent="0.2">
      <c r="A245" s="5"/>
      <c r="B245" s="5"/>
      <c r="C245" s="6"/>
    </row>
    <row r="246" spans="1:3" x14ac:dyDescent="0.2">
      <c r="A246" s="5" t="s">
        <v>70</v>
      </c>
      <c r="B246" s="5">
        <v>0.12</v>
      </c>
      <c r="C246" s="6">
        <v>96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71</v>
      </c>
      <c r="B249" s="5">
        <v>0</v>
      </c>
      <c r="C249" s="6">
        <v>43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72</v>
      </c>
      <c r="B252" s="5">
        <v>0</v>
      </c>
      <c r="C252" s="6">
        <v>35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73</v>
      </c>
      <c r="B255" s="5">
        <v>0</v>
      </c>
      <c r="C255" s="6">
        <v>40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74</v>
      </c>
      <c r="B258" s="5">
        <v>0</v>
      </c>
      <c r="C258" s="6">
        <v>44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3" t="s">
        <v>127</v>
      </c>
    </row>
    <row r="262" spans="1:3" x14ac:dyDescent="0.2">
      <c r="A262" s="3" t="s">
        <v>121</v>
      </c>
      <c r="B262" s="3" t="s">
        <v>122</v>
      </c>
      <c r="C262" s="3" t="s">
        <v>3</v>
      </c>
    </row>
    <row r="263" spans="1:3" x14ac:dyDescent="0.2">
      <c r="A263" s="5" t="s">
        <v>75</v>
      </c>
      <c r="B263" s="5">
        <v>1.7</v>
      </c>
      <c r="C263" s="6">
        <v>29</v>
      </c>
    </row>
    <row r="264" spans="1:3" x14ac:dyDescent="0.2">
      <c r="A264" s="5"/>
      <c r="B264" s="5"/>
      <c r="C264" s="6"/>
    </row>
    <row r="265" spans="1:3" x14ac:dyDescent="0.2">
      <c r="A265" s="5"/>
      <c r="B265" s="5"/>
      <c r="C265" s="6"/>
    </row>
    <row r="266" spans="1:3" x14ac:dyDescent="0.2">
      <c r="A266" s="5" t="s">
        <v>76</v>
      </c>
      <c r="B266" s="5">
        <v>0.85</v>
      </c>
      <c r="C266" s="6">
        <v>16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77</v>
      </c>
      <c r="B269" s="5">
        <v>0.49</v>
      </c>
      <c r="C269" s="6">
        <v>14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78</v>
      </c>
      <c r="B272" s="5">
        <v>0.85</v>
      </c>
      <c r="C272" s="6">
        <v>39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79</v>
      </c>
      <c r="B275" s="5">
        <v>0.36</v>
      </c>
      <c r="C275" s="6">
        <v>81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2"/>
      <c r="B278" s="2"/>
      <c r="C278" s="2"/>
    </row>
    <row r="279" spans="1:3" x14ac:dyDescent="0.2">
      <c r="A279" s="5" t="s">
        <v>80</v>
      </c>
      <c r="B279" s="5">
        <v>0.36</v>
      </c>
      <c r="C279" s="6">
        <v>2</v>
      </c>
    </row>
    <row r="280" spans="1:3" x14ac:dyDescent="0.2">
      <c r="A280" s="5"/>
      <c r="B280" s="5"/>
      <c r="C280" s="6"/>
    </row>
    <row r="281" spans="1:3" x14ac:dyDescent="0.2">
      <c r="A281" s="5"/>
      <c r="B281" s="5"/>
      <c r="C281" s="6"/>
    </row>
    <row r="282" spans="1:3" x14ac:dyDescent="0.2">
      <c r="A282" s="5" t="s">
        <v>81</v>
      </c>
      <c r="B282" s="5">
        <v>0.73</v>
      </c>
      <c r="C282" s="6">
        <v>1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82</v>
      </c>
      <c r="B285" s="8">
        <v>0.5</v>
      </c>
      <c r="C285" s="6">
        <v>52</v>
      </c>
    </row>
    <row r="286" spans="1:3" x14ac:dyDescent="0.2">
      <c r="A286" s="5"/>
      <c r="B286" s="8"/>
      <c r="C286" s="6"/>
    </row>
    <row r="287" spans="1:3" x14ac:dyDescent="0.2">
      <c r="A287" s="5"/>
      <c r="B287" s="8"/>
      <c r="C287" s="6"/>
    </row>
    <row r="288" spans="1:3" x14ac:dyDescent="0.2">
      <c r="A288" s="5" t="s">
        <v>83</v>
      </c>
      <c r="B288" s="5">
        <v>0.36</v>
      </c>
      <c r="C288" s="6">
        <v>98</v>
      </c>
    </row>
    <row r="289" spans="1:3" x14ac:dyDescent="0.2">
      <c r="A289" s="5"/>
      <c r="B289" s="5"/>
      <c r="C289" s="6"/>
    </row>
    <row r="290" spans="1:3" x14ac:dyDescent="0.2">
      <c r="A290" s="5"/>
      <c r="B290" s="5"/>
      <c r="C290" s="6"/>
    </row>
    <row r="291" spans="1:3" x14ac:dyDescent="0.2">
      <c r="A291" s="2"/>
      <c r="B291" s="2"/>
      <c r="C291" s="2"/>
    </row>
    <row r="292" spans="1:3" x14ac:dyDescent="0.2">
      <c r="A292" s="5" t="s">
        <v>84</v>
      </c>
      <c r="B292" s="5">
        <v>1.46</v>
      </c>
      <c r="C292" s="6">
        <v>80</v>
      </c>
    </row>
    <row r="293" spans="1:3" x14ac:dyDescent="0.2">
      <c r="A293" s="5"/>
      <c r="B293" s="5"/>
      <c r="C293" s="6"/>
    </row>
    <row r="294" spans="1:3" x14ac:dyDescent="0.2">
      <c r="A294" s="5"/>
      <c r="B294" s="5"/>
      <c r="C294" s="6"/>
    </row>
    <row r="295" spans="1:3" x14ac:dyDescent="0.2">
      <c r="A295" s="5" t="s">
        <v>85</v>
      </c>
      <c r="B295" s="5">
        <v>0.24</v>
      </c>
      <c r="C295" s="6">
        <v>42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60</v>
      </c>
      <c r="B298" s="5">
        <v>1.22</v>
      </c>
      <c r="C298" s="6">
        <v>86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2"/>
      <c r="B301" s="2"/>
      <c r="C301" s="2"/>
    </row>
    <row r="302" spans="1:3" x14ac:dyDescent="0.2">
      <c r="A302" s="5" t="s">
        <v>86</v>
      </c>
      <c r="B302" s="5">
        <v>1.22</v>
      </c>
      <c r="C302" s="6">
        <v>68</v>
      </c>
    </row>
    <row r="303" spans="1:3" x14ac:dyDescent="0.2">
      <c r="A303" s="5"/>
      <c r="B303" s="5"/>
      <c r="C303" s="6"/>
    </row>
    <row r="304" spans="1:3" x14ac:dyDescent="0.2">
      <c r="A304" s="5"/>
      <c r="B304" s="5"/>
      <c r="C304" s="6"/>
    </row>
    <row r="305" spans="1:3" x14ac:dyDescent="0.2">
      <c r="A305" s="5" t="s">
        <v>87</v>
      </c>
      <c r="B305" s="5">
        <v>2.92</v>
      </c>
      <c r="C305" s="6">
        <v>44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88</v>
      </c>
      <c r="B308" s="5">
        <v>1.46</v>
      </c>
      <c r="C308" s="6">
        <v>42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89</v>
      </c>
      <c r="B311" s="5">
        <v>0</v>
      </c>
      <c r="C311" s="6">
        <v>81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3" t="s">
        <v>128</v>
      </c>
    </row>
    <row r="315" spans="1:3" x14ac:dyDescent="0.2">
      <c r="A315" s="3" t="s">
        <v>121</v>
      </c>
      <c r="B315" s="3" t="s">
        <v>122</v>
      </c>
      <c r="C315" s="3" t="s">
        <v>3</v>
      </c>
    </row>
    <row r="316" spans="1:3" x14ac:dyDescent="0.2">
      <c r="A316" s="5" t="s">
        <v>90</v>
      </c>
      <c r="B316" s="5">
        <v>65.430000000000007</v>
      </c>
      <c r="C316" s="6">
        <v>76</v>
      </c>
    </row>
    <row r="317" spans="1:3" x14ac:dyDescent="0.2">
      <c r="A317" s="5"/>
      <c r="B317" s="5"/>
      <c r="C317" s="6"/>
    </row>
    <row r="318" spans="1:3" x14ac:dyDescent="0.2">
      <c r="A318" s="5"/>
      <c r="B318" s="5"/>
      <c r="C318" s="6"/>
    </row>
    <row r="319" spans="1:3" x14ac:dyDescent="0.2">
      <c r="A319" s="5" t="s">
        <v>91</v>
      </c>
      <c r="B319" s="5">
        <v>2.31</v>
      </c>
      <c r="C319" s="6">
        <v>54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92</v>
      </c>
      <c r="B322" s="5">
        <v>13.01</v>
      </c>
      <c r="C322" s="6">
        <v>56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93</v>
      </c>
      <c r="B325" s="5">
        <v>38.799999999999997</v>
      </c>
      <c r="C325" s="6">
        <v>74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94</v>
      </c>
      <c r="B328" s="5">
        <v>14.72</v>
      </c>
      <c r="C328" s="6">
        <v>73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95</v>
      </c>
      <c r="B331" s="5">
        <v>0.24</v>
      </c>
      <c r="C331" s="6">
        <v>10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96</v>
      </c>
      <c r="B334" s="5">
        <v>65.430000000000007</v>
      </c>
      <c r="C334" s="6">
        <v>76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2"/>
      <c r="B337" s="2"/>
      <c r="C337" s="2"/>
    </row>
    <row r="338" spans="1:3" x14ac:dyDescent="0.2">
      <c r="A338" s="5" t="s">
        <v>97</v>
      </c>
      <c r="B338" s="5">
        <v>0.97</v>
      </c>
      <c r="C338" s="6">
        <v>38</v>
      </c>
    </row>
    <row r="339" spans="1:3" x14ac:dyDescent="0.2">
      <c r="A339" s="5"/>
      <c r="B339" s="5"/>
      <c r="C339" s="6"/>
    </row>
    <row r="340" spans="1:3" x14ac:dyDescent="0.2">
      <c r="A340" s="5"/>
      <c r="B340" s="5"/>
      <c r="C340" s="6"/>
    </row>
    <row r="341" spans="1:3" x14ac:dyDescent="0.2">
      <c r="A341" s="5" t="s">
        <v>98</v>
      </c>
      <c r="B341" s="5">
        <v>0.61</v>
      </c>
      <c r="C341" s="6">
        <v>56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99</v>
      </c>
      <c r="B344" s="8">
        <v>0.625</v>
      </c>
      <c r="C344" s="6">
        <v>87</v>
      </c>
    </row>
    <row r="345" spans="1:3" x14ac:dyDescent="0.2">
      <c r="A345" s="5"/>
      <c r="B345" s="8"/>
      <c r="C345" s="6"/>
    </row>
    <row r="346" spans="1:3" x14ac:dyDescent="0.2">
      <c r="A346" s="5"/>
      <c r="B346" s="8"/>
      <c r="C346" s="6"/>
    </row>
    <row r="347" spans="1:3" x14ac:dyDescent="0.2">
      <c r="A347" s="5" t="s">
        <v>100</v>
      </c>
      <c r="B347" s="5">
        <v>0.36</v>
      </c>
      <c r="C347" s="6">
        <v>66</v>
      </c>
    </row>
    <row r="348" spans="1:3" x14ac:dyDescent="0.2">
      <c r="A348" s="5"/>
      <c r="B348" s="5"/>
      <c r="C348" s="6"/>
    </row>
    <row r="349" spans="1:3" x14ac:dyDescent="0.2">
      <c r="A349" s="5"/>
      <c r="B349" s="5"/>
      <c r="C349" s="6"/>
    </row>
    <row r="350" spans="1:3" x14ac:dyDescent="0.2">
      <c r="A350" s="5" t="s">
        <v>101</v>
      </c>
      <c r="B350" s="8">
        <v>0.375</v>
      </c>
      <c r="C350" s="6">
        <v>75</v>
      </c>
    </row>
    <row r="351" spans="1:3" x14ac:dyDescent="0.2">
      <c r="A351" s="5"/>
      <c r="B351" s="8"/>
      <c r="C351" s="6"/>
    </row>
    <row r="352" spans="1:3" x14ac:dyDescent="0.2">
      <c r="A352" s="5"/>
      <c r="B352" s="8"/>
      <c r="C352" s="6"/>
    </row>
    <row r="353" spans="1:3" x14ac:dyDescent="0.2">
      <c r="A353" s="2"/>
      <c r="B353" s="2"/>
      <c r="C353" s="2"/>
    </row>
    <row r="354" spans="1:3" x14ac:dyDescent="0.2">
      <c r="A354" s="5" t="s">
        <v>102</v>
      </c>
      <c r="B354" s="5">
        <v>32.590000000000003</v>
      </c>
      <c r="C354" s="6">
        <v>62</v>
      </c>
    </row>
    <row r="355" spans="1:3" x14ac:dyDescent="0.2">
      <c r="A355" s="5"/>
      <c r="B355" s="5"/>
      <c r="C355" s="6"/>
    </row>
    <row r="356" spans="1:3" x14ac:dyDescent="0.2">
      <c r="A356" s="5"/>
      <c r="B356" s="5"/>
      <c r="C356" s="6"/>
    </row>
    <row r="357" spans="1:3" x14ac:dyDescent="0.2">
      <c r="A357" s="5" t="s">
        <v>103</v>
      </c>
      <c r="B357" s="5">
        <v>157.74</v>
      </c>
      <c r="C357" s="6">
        <v>60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104</v>
      </c>
      <c r="B360" s="5">
        <v>45.49</v>
      </c>
      <c r="C360" s="6">
        <v>17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2"/>
      <c r="B363" s="2"/>
      <c r="C363" s="2"/>
    </row>
    <row r="364" spans="1:3" x14ac:dyDescent="0.2">
      <c r="A364" s="5" t="s">
        <v>16</v>
      </c>
      <c r="B364" s="7">
        <v>0.12</v>
      </c>
      <c r="C364" s="7">
        <v>1</v>
      </c>
    </row>
    <row r="365" spans="1:3" x14ac:dyDescent="0.2">
      <c r="A365" s="5"/>
      <c r="B365" s="7"/>
      <c r="C365" s="7"/>
    </row>
    <row r="366" spans="1:3" x14ac:dyDescent="0.2">
      <c r="A366" s="5"/>
      <c r="B366" s="7"/>
      <c r="C366" s="7"/>
    </row>
    <row r="367" spans="1:3" x14ac:dyDescent="0.2">
      <c r="A367" s="5" t="s">
        <v>105</v>
      </c>
      <c r="B367" s="5">
        <v>0.49</v>
      </c>
      <c r="C367" s="6">
        <v>13</v>
      </c>
    </row>
    <row r="368" spans="1:3" x14ac:dyDescent="0.2">
      <c r="A368" s="5"/>
      <c r="B368" s="5"/>
      <c r="C368" s="6"/>
    </row>
    <row r="369" spans="1:3" x14ac:dyDescent="0.2">
      <c r="A369" s="5"/>
      <c r="B369" s="5"/>
      <c r="C369" s="6"/>
    </row>
    <row r="370" spans="1:3" x14ac:dyDescent="0.2">
      <c r="A370" s="5" t="s">
        <v>106</v>
      </c>
      <c r="B370" s="5">
        <v>0</v>
      </c>
      <c r="C370" s="6">
        <v>10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107</v>
      </c>
      <c r="B373" s="5">
        <v>0.73</v>
      </c>
      <c r="C373" s="6">
        <v>90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108</v>
      </c>
      <c r="B376" s="5">
        <v>0.36</v>
      </c>
      <c r="C376" s="6">
        <v>90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2"/>
      <c r="B379" s="2"/>
      <c r="C379" s="2"/>
    </row>
    <row r="380" spans="1:3" x14ac:dyDescent="0.2">
      <c r="A380" s="5" t="s">
        <v>109</v>
      </c>
      <c r="B380" s="5">
        <v>39.53</v>
      </c>
      <c r="C380" s="6">
        <v>61</v>
      </c>
    </row>
    <row r="381" spans="1:3" x14ac:dyDescent="0.2">
      <c r="A381" s="5"/>
      <c r="B381" s="5"/>
      <c r="C381" s="6"/>
    </row>
    <row r="382" spans="1:3" x14ac:dyDescent="0.2">
      <c r="A382" s="5"/>
      <c r="B382" s="5"/>
      <c r="C382" s="6"/>
    </row>
    <row r="383" spans="1:3" x14ac:dyDescent="0.2">
      <c r="A383" s="5" t="s">
        <v>18</v>
      </c>
      <c r="B383" s="7">
        <v>0.73</v>
      </c>
      <c r="C383" s="7">
        <v>14</v>
      </c>
    </row>
    <row r="384" spans="1:3" x14ac:dyDescent="0.2">
      <c r="A384" s="5"/>
      <c r="B384" s="7"/>
      <c r="C384" s="7"/>
    </row>
    <row r="385" spans="1:3" x14ac:dyDescent="0.2">
      <c r="A385" s="5"/>
      <c r="B385" s="7"/>
      <c r="C385" s="7"/>
    </row>
    <row r="386" spans="1:3" x14ac:dyDescent="0.2">
      <c r="A386" s="3" t="s">
        <v>129</v>
      </c>
    </row>
    <row r="387" spans="1:3" x14ac:dyDescent="0.2">
      <c r="A387" s="3" t="s">
        <v>121</v>
      </c>
      <c r="B387" s="3" t="s">
        <v>122</v>
      </c>
      <c r="C387" s="3" t="s">
        <v>3</v>
      </c>
    </row>
    <row r="388" spans="1:3" x14ac:dyDescent="0.2">
      <c r="A388" s="5" t="s">
        <v>10</v>
      </c>
      <c r="B388" s="7">
        <v>0</v>
      </c>
      <c r="C388" s="7">
        <v>99</v>
      </c>
    </row>
    <row r="389" spans="1:3" x14ac:dyDescent="0.2">
      <c r="A389" s="5"/>
      <c r="B389" s="7"/>
      <c r="C389" s="7"/>
    </row>
    <row r="390" spans="1:3" x14ac:dyDescent="0.2">
      <c r="A390" s="5"/>
      <c r="B390" s="7"/>
      <c r="C390" s="7"/>
    </row>
    <row r="391" spans="1:3" x14ac:dyDescent="0.2">
      <c r="A391" s="5" t="s">
        <v>11</v>
      </c>
      <c r="B391" s="7">
        <v>0</v>
      </c>
      <c r="C391" s="7">
        <v>61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110</v>
      </c>
      <c r="B394" s="5">
        <v>0</v>
      </c>
      <c r="C394" s="6">
        <v>56</v>
      </c>
    </row>
    <row r="395" spans="1:3" x14ac:dyDescent="0.2">
      <c r="A395" s="5"/>
      <c r="B395" s="5"/>
      <c r="C395" s="6"/>
    </row>
    <row r="396" spans="1:3" x14ac:dyDescent="0.2">
      <c r="A396" s="5"/>
      <c r="B396" s="5"/>
      <c r="C396" s="6"/>
    </row>
    <row r="397" spans="1:3" x14ac:dyDescent="0.2">
      <c r="A397" s="5" t="s">
        <v>111</v>
      </c>
      <c r="B397" s="5">
        <v>1.0900000000000001</v>
      </c>
      <c r="C397" s="6">
        <v>71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112</v>
      </c>
      <c r="B400" s="5">
        <v>0.49</v>
      </c>
      <c r="C400" s="6">
        <v>8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113</v>
      </c>
      <c r="B403" s="5">
        <v>0</v>
      </c>
      <c r="C403" s="6">
        <v>75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53</v>
      </c>
      <c r="B406" s="7">
        <v>3.77</v>
      </c>
      <c r="C406" s="7">
        <v>89</v>
      </c>
    </row>
    <row r="407" spans="1:3" x14ac:dyDescent="0.2">
      <c r="A407" s="5"/>
      <c r="B407" s="7"/>
      <c r="C407" s="7"/>
    </row>
    <row r="408" spans="1:3" x14ac:dyDescent="0.2">
      <c r="A408" s="5"/>
      <c r="B408" s="7"/>
      <c r="C408" s="7"/>
    </row>
    <row r="409" spans="1:3" x14ac:dyDescent="0.2">
      <c r="A409" s="2"/>
      <c r="B409" s="2"/>
      <c r="C409" s="2"/>
    </row>
    <row r="410" spans="1:3" x14ac:dyDescent="0.2">
      <c r="A410" s="5" t="s">
        <v>86</v>
      </c>
      <c r="B410" s="7">
        <v>1.22</v>
      </c>
      <c r="C410" s="7">
        <v>68</v>
      </c>
    </row>
    <row r="411" spans="1:3" x14ac:dyDescent="0.2">
      <c r="A411" s="5"/>
      <c r="B411" s="7"/>
      <c r="C411" s="7"/>
    </row>
    <row r="412" spans="1:3" x14ac:dyDescent="0.2">
      <c r="A412" s="5"/>
      <c r="B412" s="7"/>
      <c r="C412" s="7"/>
    </row>
    <row r="413" spans="1:3" x14ac:dyDescent="0.2">
      <c r="A413" s="5" t="s">
        <v>76</v>
      </c>
      <c r="B413" s="7">
        <v>0.85</v>
      </c>
      <c r="C413" s="7">
        <v>16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114</v>
      </c>
      <c r="B416" s="5">
        <v>0</v>
      </c>
      <c r="C416" s="6">
        <v>45</v>
      </c>
    </row>
    <row r="417" spans="1:3" x14ac:dyDescent="0.2">
      <c r="A417" s="5"/>
      <c r="B417" s="5"/>
      <c r="C417" s="6"/>
    </row>
    <row r="418" spans="1:3" x14ac:dyDescent="0.2">
      <c r="A418" s="5"/>
      <c r="B418" s="5"/>
      <c r="C418" s="6"/>
    </row>
    <row r="419" spans="1:3" x14ac:dyDescent="0.2">
      <c r="A419" s="5" t="s">
        <v>115</v>
      </c>
      <c r="B419" s="5">
        <v>0</v>
      </c>
      <c r="C419" s="6">
        <v>59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116</v>
      </c>
      <c r="B422" s="5">
        <v>0</v>
      </c>
      <c r="C422" s="6">
        <v>53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117</v>
      </c>
      <c r="B425" s="5">
        <v>5.23</v>
      </c>
      <c r="C425" s="6">
        <v>55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2"/>
      <c r="B428" s="2"/>
      <c r="C428" s="2"/>
    </row>
    <row r="429" spans="1:3" x14ac:dyDescent="0.2">
      <c r="A429" s="5" t="s">
        <v>118</v>
      </c>
      <c r="B429" s="5">
        <v>0.36</v>
      </c>
      <c r="C429" s="6">
        <v>12</v>
      </c>
    </row>
    <row r="430" spans="1:3" x14ac:dyDescent="0.2">
      <c r="A430" s="5"/>
      <c r="B430" s="5"/>
      <c r="C430" s="6"/>
    </row>
    <row r="431" spans="1:3" x14ac:dyDescent="0.2">
      <c r="A431" s="5"/>
      <c r="B431" s="5"/>
      <c r="C431" s="6"/>
    </row>
    <row r="432" spans="1:3" x14ac:dyDescent="0.2">
      <c r="A432" s="5" t="s">
        <v>119</v>
      </c>
      <c r="B432" s="5">
        <v>0.73</v>
      </c>
      <c r="C432" s="6">
        <v>71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120</v>
      </c>
      <c r="B435" s="8">
        <v>0.33300000000000002</v>
      </c>
      <c r="C435" s="6">
        <v>11</v>
      </c>
    </row>
    <row r="436" spans="1:3" x14ac:dyDescent="0.2">
      <c r="A436" s="5"/>
      <c r="B436" s="8"/>
      <c r="C436" s="6"/>
    </row>
    <row r="437" spans="1:3" x14ac:dyDescent="0.2">
      <c r="A437" s="5"/>
      <c r="B437" s="8"/>
      <c r="C437" s="6"/>
    </row>
  </sheetData>
  <mergeCells count="402"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9:A431"/>
    <mergeCell ref="B429:B431"/>
    <mergeCell ref="C429:C431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10:A412"/>
    <mergeCell ref="B410:B412"/>
    <mergeCell ref="C410:C412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8:A390"/>
    <mergeCell ref="B388:B390"/>
    <mergeCell ref="C388:C390"/>
    <mergeCell ref="A391:A393"/>
    <mergeCell ref="B391:B393"/>
    <mergeCell ref="C391:C393"/>
    <mergeCell ref="A380:A382"/>
    <mergeCell ref="B380:B382"/>
    <mergeCell ref="C380:C382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4:A366"/>
    <mergeCell ref="B364:B366"/>
    <mergeCell ref="C364:C366"/>
    <mergeCell ref="A354:A356"/>
    <mergeCell ref="B354:B356"/>
    <mergeCell ref="C354:C356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8:A340"/>
    <mergeCell ref="B338:B340"/>
    <mergeCell ref="C338:C340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6:A318"/>
    <mergeCell ref="B316:B318"/>
    <mergeCell ref="C316:C318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2:A304"/>
    <mergeCell ref="B302:B304"/>
    <mergeCell ref="C302:C304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2:A294"/>
    <mergeCell ref="B292:B294"/>
    <mergeCell ref="C292:C294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9:A281"/>
    <mergeCell ref="B279:B281"/>
    <mergeCell ref="C279:C281"/>
    <mergeCell ref="A269:A271"/>
    <mergeCell ref="B269:B271"/>
    <mergeCell ref="C269:C271"/>
    <mergeCell ref="A272:A274"/>
    <mergeCell ref="B272:B274"/>
    <mergeCell ref="C272:C274"/>
    <mergeCell ref="A263:A265"/>
    <mergeCell ref="B263:B265"/>
    <mergeCell ref="C263:C265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3:A245"/>
    <mergeCell ref="B243:B245"/>
    <mergeCell ref="C243:C245"/>
    <mergeCell ref="A246:A248"/>
    <mergeCell ref="B246:B248"/>
    <mergeCell ref="C246:C248"/>
    <mergeCell ref="A235:A237"/>
    <mergeCell ref="B235:B237"/>
    <mergeCell ref="C235:C237"/>
    <mergeCell ref="A239:A241"/>
    <mergeCell ref="B239:B241"/>
    <mergeCell ref="C239:C241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6:A218"/>
    <mergeCell ref="B216:B218"/>
    <mergeCell ref="C216:C218"/>
    <mergeCell ref="A220:A222"/>
    <mergeCell ref="B220:B222"/>
    <mergeCell ref="C220:C222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5:A207"/>
    <mergeCell ref="B205:B207"/>
    <mergeCell ref="C205:C207"/>
    <mergeCell ref="A195:A197"/>
    <mergeCell ref="B195:B197"/>
    <mergeCell ref="C195:C197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70:A172"/>
    <mergeCell ref="B170:B172"/>
    <mergeCell ref="C170:C172"/>
    <mergeCell ref="A173:A175"/>
    <mergeCell ref="B173:B175"/>
    <mergeCell ref="C173:C175"/>
    <mergeCell ref="A161:A163"/>
    <mergeCell ref="B161:B163"/>
    <mergeCell ref="C161:C163"/>
    <mergeCell ref="A166:A168"/>
    <mergeCell ref="B166:B168"/>
    <mergeCell ref="C166:C168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1:A133"/>
    <mergeCell ref="B131:B133"/>
    <mergeCell ref="C131:C133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1:A123"/>
    <mergeCell ref="B121:B123"/>
    <mergeCell ref="C121:C123"/>
    <mergeCell ref="A111:A113"/>
    <mergeCell ref="B111:B113"/>
    <mergeCell ref="C111:C113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5:A97"/>
    <mergeCell ref="B95:B97"/>
    <mergeCell ref="C95:C97"/>
    <mergeCell ref="A84:A86"/>
    <mergeCell ref="B84:B86"/>
    <mergeCell ref="C84:C86"/>
    <mergeCell ref="A87:A89"/>
    <mergeCell ref="B87:B89"/>
    <mergeCell ref="C87:C89"/>
    <mergeCell ref="A78:A80"/>
    <mergeCell ref="B78:B80"/>
    <mergeCell ref="C78:C80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A4C03-E20F-7948-89F4-1C188CB9B480}">
  <dimension ref="A1:C440"/>
  <sheetViews>
    <sheetView workbookViewId="0">
      <selection activeCell="F5" sqref="F5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0.06</v>
      </c>
      <c r="C2" s="6">
        <v>65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0.03</v>
      </c>
      <c r="C5" s="6">
        <v>56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0.09</v>
      </c>
      <c r="C8" s="6">
        <v>60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0.06</v>
      </c>
      <c r="C11" s="6">
        <v>66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49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49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0.26</v>
      </c>
      <c r="C20" s="6">
        <v>26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62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7.0000000000000007E-2</v>
      </c>
      <c r="C26" s="6">
        <v>73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7.0000000000000007E-2</v>
      </c>
      <c r="C29" s="6">
        <v>74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0.03</v>
      </c>
      <c r="C32" s="6">
        <v>64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0.09</v>
      </c>
      <c r="C35" s="6">
        <v>72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0.66</v>
      </c>
      <c r="C39" s="6">
        <v>59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4.91</v>
      </c>
      <c r="C42" s="6">
        <v>86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0.4</v>
      </c>
      <c r="C45" s="6">
        <v>65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0.06</v>
      </c>
      <c r="C50" s="7">
        <v>65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0.69</v>
      </c>
      <c r="C53" s="6">
        <v>77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0.23</v>
      </c>
      <c r="C56" s="6">
        <v>82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0.33300000000000002</v>
      </c>
      <c r="C59" s="6">
        <v>66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0.08</v>
      </c>
      <c r="C62" s="6">
        <v>53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0.25</v>
      </c>
      <c r="C65" s="6">
        <v>44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15.2</v>
      </c>
      <c r="C68" s="6">
        <v>29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</v>
      </c>
      <c r="C71" s="6">
        <v>44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</v>
      </c>
      <c r="C74" s="7">
        <v>49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</v>
      </c>
      <c r="C77" s="7">
        <v>49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7.0000000000000007E-2</v>
      </c>
      <c r="C81" s="7">
        <v>73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7.0000000000000007E-2</v>
      </c>
      <c r="C84" s="7">
        <v>74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0.1</v>
      </c>
      <c r="C87" s="6">
        <v>59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-0.01</v>
      </c>
      <c r="C90" s="6">
        <v>50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-0.01</v>
      </c>
      <c r="C93" s="6">
        <v>50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62</v>
      </c>
      <c r="C98" s="6">
        <v>84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69.27</v>
      </c>
      <c r="C101" s="6">
        <v>84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0.89500000000000002</v>
      </c>
      <c r="C104" s="6">
        <v>71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1164.54</v>
      </c>
      <c r="C107" s="6">
        <v>85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420.02</v>
      </c>
      <c r="C110" s="6">
        <v>87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22.14</v>
      </c>
      <c r="C114" s="6">
        <v>73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23.55</v>
      </c>
      <c r="C117" s="6">
        <v>75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0.94</v>
      </c>
      <c r="C120" s="6">
        <v>66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34.4</v>
      </c>
      <c r="C124" s="6">
        <v>87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36.36</v>
      </c>
      <c r="C127" s="6">
        <v>87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0.94599999999999995</v>
      </c>
      <c r="C130" s="6">
        <v>74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5.05</v>
      </c>
      <c r="C134" s="6">
        <v>73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8.24</v>
      </c>
      <c r="C137" s="6">
        <v>71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0.61299999999999999</v>
      </c>
      <c r="C140" s="6">
        <v>58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0.03</v>
      </c>
      <c r="C143" s="7">
        <v>56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0.03</v>
      </c>
      <c r="C146" s="7">
        <v>64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0.05</v>
      </c>
      <c r="C149" s="6">
        <v>80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0.37</v>
      </c>
      <c r="C152" s="6">
        <v>76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5.1100000000000003</v>
      </c>
      <c r="C155" s="6">
        <v>85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0.43</v>
      </c>
      <c r="C158" s="6">
        <v>88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0.09</v>
      </c>
      <c r="C161" s="6">
        <v>81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4.91</v>
      </c>
      <c r="C164" s="7">
        <v>86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69.27</v>
      </c>
      <c r="C169" s="7">
        <v>84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66.34</v>
      </c>
      <c r="C173" s="6">
        <v>87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2.81</v>
      </c>
      <c r="C176" s="6">
        <v>49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1.72</v>
      </c>
      <c r="C179" s="6">
        <v>59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0.11</v>
      </c>
      <c r="C182" s="6">
        <v>85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0.52</v>
      </c>
      <c r="C185" s="6">
        <v>83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0.4</v>
      </c>
      <c r="C188" s="6">
        <v>74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0.32</v>
      </c>
      <c r="C191" s="6">
        <v>54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</v>
      </c>
      <c r="C194" s="6">
        <v>48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6">
        <v>49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</v>
      </c>
      <c r="C201" s="6">
        <v>49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50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62</v>
      </c>
      <c r="C208" s="7">
        <v>84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0.11</v>
      </c>
      <c r="C211" s="6">
        <v>51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0.2</v>
      </c>
      <c r="C214" s="6">
        <v>83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1.21</v>
      </c>
      <c r="C219" s="6">
        <v>80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1.0900000000000001</v>
      </c>
      <c r="C223" s="6">
        <v>86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0.03</v>
      </c>
      <c r="C226" s="6">
        <v>65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</v>
      </c>
      <c r="C229" s="6">
        <v>38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0.09</v>
      </c>
      <c r="C232" s="6">
        <v>68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</v>
      </c>
      <c r="C235" s="6">
        <v>31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</v>
      </c>
      <c r="C238" s="6">
        <v>28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0.17</v>
      </c>
      <c r="C242" s="6">
        <v>88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0.11</v>
      </c>
      <c r="C246" s="6">
        <v>81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</v>
      </c>
      <c r="C249" s="6">
        <v>47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</v>
      </c>
      <c r="C252" s="6">
        <v>48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0.06</v>
      </c>
      <c r="C255" s="6">
        <v>95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</v>
      </c>
      <c r="C258" s="6">
        <v>44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46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0.95</v>
      </c>
      <c r="C266" s="6">
        <v>9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0.56999999999999995</v>
      </c>
      <c r="C269" s="6">
        <v>12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0.6</v>
      </c>
      <c r="C272" s="6">
        <v>14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0.17</v>
      </c>
      <c r="C275" s="6">
        <v>3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0.17</v>
      </c>
      <c r="C278" s="6">
        <v>85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0.52</v>
      </c>
      <c r="C282" s="6">
        <v>17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0.98</v>
      </c>
      <c r="C285" s="6">
        <v>32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0.52900000000000003</v>
      </c>
      <c r="C288" s="6">
        <v>9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0.46</v>
      </c>
      <c r="C291" s="6">
        <v>37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1.1499999999999999</v>
      </c>
      <c r="C295" s="6">
        <v>42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0.8</v>
      </c>
      <c r="C298" s="6">
        <v>63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0.34</v>
      </c>
      <c r="C301" s="6">
        <v>22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1.01</v>
      </c>
      <c r="C305" s="6">
        <v>45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1.95</v>
      </c>
      <c r="C308" s="6">
        <v>17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3.47</v>
      </c>
      <c r="C311" s="6">
        <v>8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0.14000000000000001</v>
      </c>
      <c r="C314" s="6">
        <v>19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77.739999999999995</v>
      </c>
      <c r="C319" s="6">
        <v>82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9.1</v>
      </c>
      <c r="C322" s="6">
        <v>66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36.21</v>
      </c>
      <c r="C325" s="6">
        <v>84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38.14</v>
      </c>
      <c r="C328" s="6">
        <v>73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4.0199999999999996</v>
      </c>
      <c r="C331" s="6">
        <v>63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1.23</v>
      </c>
      <c r="C334" s="6">
        <v>80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77.739999999999995</v>
      </c>
      <c r="C337" s="6">
        <v>82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0.4</v>
      </c>
      <c r="C341" s="6">
        <v>66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0.26</v>
      </c>
      <c r="C344" s="6">
        <v>71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0.64300000000000002</v>
      </c>
      <c r="C347" s="6">
        <v>64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0.11</v>
      </c>
      <c r="C350" s="6">
        <v>43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0.28599999999999998</v>
      </c>
      <c r="C353" s="6">
        <v>65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50.28</v>
      </c>
      <c r="C357" s="6">
        <v>85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269.89</v>
      </c>
      <c r="C360" s="6">
        <v>92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159.81</v>
      </c>
      <c r="C363" s="6">
        <v>94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0.66</v>
      </c>
      <c r="C367" s="7">
        <v>59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0.69</v>
      </c>
      <c r="C370" s="6">
        <v>70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</v>
      </c>
      <c r="C373" s="6">
        <v>25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0.52</v>
      </c>
      <c r="C376" s="6">
        <v>44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0.37</v>
      </c>
      <c r="C379" s="6">
        <v>10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58.12</v>
      </c>
      <c r="C383" s="6">
        <v>87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0.4</v>
      </c>
      <c r="C386" s="7">
        <v>65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0.26</v>
      </c>
      <c r="C391" s="7">
        <v>26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</v>
      </c>
      <c r="C394" s="7">
        <v>62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</v>
      </c>
      <c r="C397" s="6">
        <v>57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1.1200000000000001</v>
      </c>
      <c r="C400" s="6">
        <v>34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0.52</v>
      </c>
      <c r="C403" s="6">
        <v>45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0.03</v>
      </c>
      <c r="C406" s="6">
        <v>52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0.4</v>
      </c>
      <c r="C409" s="7">
        <v>74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1.01</v>
      </c>
      <c r="C413" s="7">
        <v>45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0.56999999999999995</v>
      </c>
      <c r="C416" s="7">
        <v>12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</v>
      </c>
      <c r="C419" s="6">
        <v>44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</v>
      </c>
      <c r="C422" s="6">
        <v>75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0.06</v>
      </c>
      <c r="C425" s="6">
        <v>4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3.5</v>
      </c>
      <c r="C428" s="6">
        <v>40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1.92</v>
      </c>
      <c r="C432" s="6">
        <v>42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0.98</v>
      </c>
      <c r="C435" s="6">
        <v>84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0.66300000000000003</v>
      </c>
      <c r="C438" s="6">
        <v>79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 1</vt:lpstr>
      <vt:lpstr>Fer Lopez</vt:lpstr>
      <vt:lpstr>Joao Gomes</vt:lpstr>
      <vt:lpstr>Hackney</vt:lpstr>
      <vt:lpstr>Barkley</vt:lpstr>
      <vt:lpstr>Bellegarde</vt:lpstr>
      <vt:lpstr>Andre</vt:lpstr>
      <vt:lpstr>Tommy Doyle</vt:lpstr>
      <vt:lpstr>Krejci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Chui</dc:creator>
  <cp:lastModifiedBy>Derek Chui</cp:lastModifiedBy>
  <dcterms:created xsi:type="dcterms:W3CDTF">2025-08-24T06:09:06Z</dcterms:created>
  <dcterms:modified xsi:type="dcterms:W3CDTF">2025-11-25T08:38:25Z</dcterms:modified>
</cp:coreProperties>
</file>