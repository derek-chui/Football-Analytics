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3/Project 3.6/"/>
    </mc:Choice>
  </mc:AlternateContent>
  <xr:revisionPtr revIDLastSave="0" documentId="13_ncr:1_{90F30398-7FCD-5F4E-AFDE-082F41C2C588}" xr6:coauthVersionLast="47" xr6:coauthVersionMax="47" xr10:uidLastSave="{00000000-0000-0000-0000-000000000000}"/>
  <bookViews>
    <workbookView xWindow="0" yWindow="0" windowWidth="25560" windowHeight="21600" xr2:uid="{00000000-000D-0000-FFFF-FFFF00000000}"/>
  </bookViews>
  <sheets>
    <sheet name="FINAL" sheetId="10" r:id="rId1"/>
    <sheet name="Sheet 1" sheetId="1" r:id="rId2"/>
    <sheet name="Marshall Munetsi" sheetId="2" r:id="rId3"/>
    <sheet name="João Gomes" sheetId="3" r:id="rId4"/>
    <sheet name="Jean-Ricner Bellegarde" sheetId="11" r:id="rId5"/>
    <sheet name="André" sheetId="4" r:id="rId6"/>
    <sheet name="Ladislav Krejčí" sheetId="5" r:id="rId7"/>
    <sheet name="Tommy Doyle" sheetId="6" r:id="rId8"/>
    <sheet name="Mario Lemina" sheetId="7" r:id="rId9"/>
    <sheet name="Matheus Nunes" sheetId="8" r:id="rId10"/>
    <sheet name="João Moutinho" sheetId="12" r:id="rId11"/>
    <sheet name="Rúben Neves" sheetId="13" r:id="rId12"/>
    <sheet name="Boubacar Traoré" sheetId="14" r:id="rId13"/>
    <sheet name="Leander Dendoncker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0" l="1"/>
  <c r="A12" i="10"/>
  <c r="A11" i="10"/>
  <c r="A10" i="10"/>
  <c r="S121" i="1"/>
  <c r="U120" i="1"/>
  <c r="W119" i="1"/>
  <c r="Y118" i="1"/>
  <c r="S117" i="1"/>
  <c r="U116" i="1"/>
  <c r="W115" i="1"/>
  <c r="Y114" i="1"/>
  <c r="S113" i="1"/>
  <c r="U112" i="1"/>
  <c r="W111" i="1"/>
  <c r="Y110" i="1"/>
  <c r="S109" i="1"/>
  <c r="U108" i="1"/>
  <c r="W107" i="1"/>
  <c r="Y106" i="1"/>
  <c r="S105" i="1"/>
  <c r="U104" i="1"/>
  <c r="W103" i="1"/>
  <c r="Y102" i="1"/>
  <c r="S101" i="1"/>
  <c r="U100" i="1"/>
  <c r="W99" i="1"/>
  <c r="Y98" i="1"/>
  <c r="S97" i="1"/>
  <c r="U96" i="1"/>
  <c r="W95" i="1"/>
  <c r="Y94" i="1"/>
  <c r="S93" i="1"/>
  <c r="U92" i="1"/>
  <c r="W91" i="1"/>
  <c r="Y90" i="1"/>
  <c r="S89" i="1"/>
  <c r="U88" i="1"/>
  <c r="W87" i="1"/>
  <c r="Y86" i="1"/>
  <c r="S85" i="1"/>
  <c r="U84" i="1"/>
  <c r="W83" i="1"/>
  <c r="Y82" i="1"/>
  <c r="S81" i="1"/>
  <c r="U80" i="1"/>
  <c r="W79" i="1"/>
  <c r="Y78" i="1"/>
  <c r="S77" i="1"/>
  <c r="U76" i="1"/>
  <c r="W75" i="1"/>
  <c r="Y74" i="1"/>
  <c r="S73" i="1"/>
  <c r="U72" i="1"/>
  <c r="W71" i="1"/>
  <c r="Y70" i="1"/>
  <c r="S69" i="1"/>
  <c r="U68" i="1"/>
  <c r="W67" i="1"/>
  <c r="Y66" i="1"/>
  <c r="S65" i="1"/>
  <c r="U64" i="1"/>
  <c r="W63" i="1"/>
  <c r="Y62" i="1"/>
  <c r="S61" i="1"/>
  <c r="U60" i="1"/>
  <c r="W59" i="1"/>
  <c r="Y58" i="1"/>
  <c r="S57" i="1"/>
  <c r="U56" i="1"/>
  <c r="W55" i="1"/>
  <c r="Y54" i="1"/>
  <c r="S53" i="1"/>
  <c r="U52" i="1"/>
  <c r="W51" i="1"/>
  <c r="Y50" i="1"/>
  <c r="S49" i="1"/>
  <c r="U48" i="1"/>
  <c r="W47" i="1"/>
  <c r="Y46" i="1"/>
  <c r="S45" i="1"/>
  <c r="U44" i="1"/>
  <c r="W43" i="1"/>
  <c r="Y42" i="1"/>
  <c r="S41" i="1"/>
  <c r="U40" i="1"/>
  <c r="W39" i="1"/>
  <c r="Y38" i="1"/>
  <c r="S37" i="1"/>
  <c r="U36" i="1"/>
  <c r="W35" i="1"/>
  <c r="Y34" i="1"/>
  <c r="S33" i="1"/>
  <c r="U32" i="1"/>
  <c r="W31" i="1"/>
  <c r="Y30" i="1"/>
  <c r="S29" i="1"/>
  <c r="U28" i="1"/>
  <c r="W27" i="1"/>
  <c r="Y26" i="1"/>
  <c r="S25" i="1"/>
  <c r="U24" i="1"/>
  <c r="W23" i="1"/>
  <c r="Y22" i="1"/>
  <c r="S21" i="1"/>
  <c r="R121" i="1"/>
  <c r="T120" i="1"/>
  <c r="V119" i="1"/>
  <c r="X118" i="1"/>
  <c r="R117" i="1"/>
  <c r="T116" i="1"/>
  <c r="V115" i="1"/>
  <c r="X114" i="1"/>
  <c r="R113" i="1"/>
  <c r="T112" i="1"/>
  <c r="V111" i="1"/>
  <c r="X110" i="1"/>
  <c r="R109" i="1"/>
  <c r="T108" i="1"/>
  <c r="V107" i="1"/>
  <c r="X106" i="1"/>
  <c r="R105" i="1"/>
  <c r="T104" i="1"/>
  <c r="V103" i="1"/>
  <c r="X102" i="1"/>
  <c r="R101" i="1"/>
  <c r="T100" i="1"/>
  <c r="V99" i="1"/>
  <c r="X98" i="1"/>
  <c r="R97" i="1"/>
  <c r="T96" i="1"/>
  <c r="V95" i="1"/>
  <c r="X94" i="1"/>
  <c r="R93" i="1"/>
  <c r="T92" i="1"/>
  <c r="V91" i="1"/>
  <c r="X90" i="1"/>
  <c r="R89" i="1"/>
  <c r="T88" i="1"/>
  <c r="V87" i="1"/>
  <c r="X86" i="1"/>
  <c r="R85" i="1"/>
  <c r="T84" i="1"/>
  <c r="V83" i="1"/>
  <c r="X82" i="1"/>
  <c r="R81" i="1"/>
  <c r="T80" i="1"/>
  <c r="V79" i="1"/>
  <c r="X78" i="1"/>
  <c r="R77" i="1"/>
  <c r="T76" i="1"/>
  <c r="V75" i="1"/>
  <c r="X74" i="1"/>
  <c r="R73" i="1"/>
  <c r="T72" i="1"/>
  <c r="V71" i="1"/>
  <c r="X70" i="1"/>
  <c r="R69" i="1"/>
  <c r="T68" i="1"/>
  <c r="V67" i="1"/>
  <c r="X66" i="1"/>
  <c r="R65" i="1"/>
  <c r="T64" i="1"/>
  <c r="V63" i="1"/>
  <c r="X62" i="1"/>
  <c r="R61" i="1"/>
  <c r="T60" i="1"/>
  <c r="V59" i="1"/>
  <c r="X58" i="1"/>
  <c r="R57" i="1"/>
  <c r="T56" i="1"/>
  <c r="V55" i="1"/>
  <c r="X54" i="1"/>
  <c r="R53" i="1"/>
  <c r="T52" i="1"/>
  <c r="V51" i="1"/>
  <c r="X50" i="1"/>
  <c r="R49" i="1"/>
  <c r="T48" i="1"/>
  <c r="V47" i="1"/>
  <c r="X46" i="1"/>
  <c r="R45" i="1"/>
  <c r="T44" i="1"/>
  <c r="V43" i="1"/>
  <c r="X42" i="1"/>
  <c r="R41" i="1"/>
  <c r="T40" i="1"/>
  <c r="V39" i="1"/>
  <c r="X38" i="1"/>
  <c r="R37" i="1"/>
  <c r="T36" i="1"/>
  <c r="V35" i="1"/>
  <c r="X34" i="1"/>
  <c r="Y121" i="1"/>
  <c r="S120" i="1"/>
  <c r="U119" i="1"/>
  <c r="W118" i="1"/>
  <c r="Y117" i="1"/>
  <c r="S116" i="1"/>
  <c r="U115" i="1"/>
  <c r="W114" i="1"/>
  <c r="Y113" i="1"/>
  <c r="S112" i="1"/>
  <c r="U111" i="1"/>
  <c r="W110" i="1"/>
  <c r="Y109" i="1"/>
  <c r="S108" i="1"/>
  <c r="U107" i="1"/>
  <c r="W106" i="1"/>
  <c r="Y105" i="1"/>
  <c r="S104" i="1"/>
  <c r="U103" i="1"/>
  <c r="W102" i="1"/>
  <c r="Y101" i="1"/>
  <c r="S100" i="1"/>
  <c r="U99" i="1"/>
  <c r="W98" i="1"/>
  <c r="Y97" i="1"/>
  <c r="S96" i="1"/>
  <c r="U95" i="1"/>
  <c r="X121" i="1"/>
  <c r="R120" i="1"/>
  <c r="T119" i="1"/>
  <c r="V118" i="1"/>
  <c r="X117" i="1"/>
  <c r="R116" i="1"/>
  <c r="T115" i="1"/>
  <c r="V114" i="1"/>
  <c r="X113" i="1"/>
  <c r="R112" i="1"/>
  <c r="T111" i="1"/>
  <c r="V110" i="1"/>
  <c r="X109" i="1"/>
  <c r="R108" i="1"/>
  <c r="T107" i="1"/>
  <c r="V106" i="1"/>
  <c r="X105" i="1"/>
  <c r="R104" i="1"/>
  <c r="T103" i="1"/>
  <c r="V102" i="1"/>
  <c r="X101" i="1"/>
  <c r="R100" i="1"/>
  <c r="T99" i="1"/>
  <c r="V98" i="1"/>
  <c r="X97" i="1"/>
  <c r="W121" i="1"/>
  <c r="V121" i="1"/>
  <c r="T118" i="1"/>
  <c r="X116" i="1"/>
  <c r="R115" i="1"/>
  <c r="V113" i="1"/>
  <c r="T110" i="1"/>
  <c r="X108" i="1"/>
  <c r="R107" i="1"/>
  <c r="V105" i="1"/>
  <c r="T102" i="1"/>
  <c r="X100" i="1"/>
  <c r="R99" i="1"/>
  <c r="V97" i="1"/>
  <c r="X93" i="1"/>
  <c r="X92" i="1"/>
  <c r="X91" i="1"/>
  <c r="V90" i="1"/>
  <c r="V89" i="1"/>
  <c r="V88" i="1"/>
  <c r="T87" i="1"/>
  <c r="T86" i="1"/>
  <c r="T85" i="1"/>
  <c r="R84" i="1"/>
  <c r="R83" i="1"/>
  <c r="R82" i="1"/>
  <c r="X77" i="1"/>
  <c r="X76" i="1"/>
  <c r="X75" i="1"/>
  <c r="V74" i="1"/>
  <c r="V73" i="1"/>
  <c r="V72" i="1"/>
  <c r="T71" i="1"/>
  <c r="T70" i="1"/>
  <c r="T69" i="1"/>
  <c r="R68" i="1"/>
  <c r="R67" i="1"/>
  <c r="R66" i="1"/>
  <c r="X61" i="1"/>
  <c r="X60" i="1"/>
  <c r="X59" i="1"/>
  <c r="V58" i="1"/>
  <c r="V57" i="1"/>
  <c r="V56" i="1"/>
  <c r="T55" i="1"/>
  <c r="T54" i="1"/>
  <c r="T53" i="1"/>
  <c r="R52" i="1"/>
  <c r="R51" i="1"/>
  <c r="R50" i="1"/>
  <c r="X45" i="1"/>
  <c r="X44" i="1"/>
  <c r="X43" i="1"/>
  <c r="V42" i="1"/>
  <c r="V41" i="1"/>
  <c r="V40" i="1"/>
  <c r="T39" i="1"/>
  <c r="T38" i="1"/>
  <c r="T37" i="1"/>
  <c r="R36" i="1"/>
  <c r="R35" i="1"/>
  <c r="R34" i="1"/>
  <c r="R32" i="1"/>
  <c r="S31" i="1"/>
  <c r="T30" i="1"/>
  <c r="U29" i="1"/>
  <c r="V28" i="1"/>
  <c r="V27" i="1"/>
  <c r="W26" i="1"/>
  <c r="X25" i="1"/>
  <c r="Y24" i="1"/>
  <c r="R22" i="1"/>
  <c r="R21" i="1"/>
  <c r="T20" i="1"/>
  <c r="V19" i="1"/>
  <c r="X18" i="1"/>
  <c r="R17" i="1"/>
  <c r="T16" i="1"/>
  <c r="V15" i="1"/>
  <c r="X14" i="1"/>
  <c r="R13" i="1"/>
  <c r="T12" i="1"/>
  <c r="V11" i="1"/>
  <c r="X10" i="1"/>
  <c r="R9" i="1"/>
  <c r="T8" i="1"/>
  <c r="V7" i="1"/>
  <c r="X6" i="1"/>
  <c r="R5" i="1"/>
  <c r="S12" i="1"/>
  <c r="Y9" i="1"/>
  <c r="S8" i="1"/>
  <c r="W6" i="1"/>
  <c r="Y5" i="1"/>
  <c r="Y31" i="1"/>
  <c r="U18" i="1"/>
  <c r="U14" i="1"/>
  <c r="Y8" i="1"/>
  <c r="W5" i="1"/>
  <c r="R19" i="1"/>
  <c r="R15" i="1"/>
  <c r="V13" i="1"/>
  <c r="T10" i="1"/>
  <c r="R7" i="1"/>
  <c r="Y15" i="1"/>
  <c r="T13" i="1"/>
  <c r="U87" i="1"/>
  <c r="S82" i="1"/>
  <c r="Y77" i="1"/>
  <c r="U71" i="1"/>
  <c r="W57" i="1"/>
  <c r="S50" i="1"/>
  <c r="Y45" i="1"/>
  <c r="U39" i="1"/>
  <c r="U121" i="1"/>
  <c r="Y119" i="1"/>
  <c r="S118" i="1"/>
  <c r="W116" i="1"/>
  <c r="U113" i="1"/>
  <c r="Y111" i="1"/>
  <c r="S110" i="1"/>
  <c r="W108" i="1"/>
  <c r="U105" i="1"/>
  <c r="Y103" i="1"/>
  <c r="S102" i="1"/>
  <c r="W100" i="1"/>
  <c r="U97" i="1"/>
  <c r="W94" i="1"/>
  <c r="W93" i="1"/>
  <c r="W92" i="1"/>
  <c r="U91" i="1"/>
  <c r="U90" i="1"/>
  <c r="U89" i="1"/>
  <c r="S88" i="1"/>
  <c r="S87" i="1"/>
  <c r="S86" i="1"/>
  <c r="Y81" i="1"/>
  <c r="Y80" i="1"/>
  <c r="Y79" i="1"/>
  <c r="W78" i="1"/>
  <c r="W77" i="1"/>
  <c r="W76" i="1"/>
  <c r="U75" i="1"/>
  <c r="U74" i="1"/>
  <c r="U73" i="1"/>
  <c r="S72" i="1"/>
  <c r="S71" i="1"/>
  <c r="S70" i="1"/>
  <c r="Y65" i="1"/>
  <c r="Y64" i="1"/>
  <c r="Y63" i="1"/>
  <c r="W62" i="1"/>
  <c r="W61" i="1"/>
  <c r="W60" i="1"/>
  <c r="U59" i="1"/>
  <c r="U58" i="1"/>
  <c r="U57" i="1"/>
  <c r="S56" i="1"/>
  <c r="S55" i="1"/>
  <c r="S54" i="1"/>
  <c r="Y49" i="1"/>
  <c r="Y48" i="1"/>
  <c r="Y47" i="1"/>
  <c r="W46" i="1"/>
  <c r="W45" i="1"/>
  <c r="W44" i="1"/>
  <c r="U43" i="1"/>
  <c r="U42" i="1"/>
  <c r="U41" i="1"/>
  <c r="S40" i="1"/>
  <c r="S39" i="1"/>
  <c r="S38" i="1"/>
  <c r="Y33" i="1"/>
  <c r="R31" i="1"/>
  <c r="S30" i="1"/>
  <c r="T29" i="1"/>
  <c r="T28" i="1"/>
  <c r="U27" i="1"/>
  <c r="V26" i="1"/>
  <c r="W25" i="1"/>
  <c r="X24" i="1"/>
  <c r="Y23" i="1"/>
  <c r="S20" i="1"/>
  <c r="U19" i="1"/>
  <c r="W18" i="1"/>
  <c r="Y17" i="1"/>
  <c r="S16" i="1"/>
  <c r="U15" i="1"/>
  <c r="W14" i="1"/>
  <c r="Y13" i="1"/>
  <c r="U11" i="1"/>
  <c r="W10" i="1"/>
  <c r="U7" i="1"/>
  <c r="W22" i="1"/>
  <c r="S19" i="1"/>
  <c r="Y12" i="1"/>
  <c r="W9" i="1"/>
  <c r="S7" i="1"/>
  <c r="V17" i="1"/>
  <c r="R11" i="1"/>
  <c r="Y7" i="1"/>
  <c r="R96" i="1"/>
  <c r="Y75" i="1"/>
  <c r="S67" i="1"/>
  <c r="Y59" i="1"/>
  <c r="S51" i="1"/>
  <c r="W42" i="1"/>
  <c r="T121" i="1"/>
  <c r="X119" i="1"/>
  <c r="R118" i="1"/>
  <c r="V116" i="1"/>
  <c r="T113" i="1"/>
  <c r="X111" i="1"/>
  <c r="R110" i="1"/>
  <c r="V108" i="1"/>
  <c r="T105" i="1"/>
  <c r="X103" i="1"/>
  <c r="R102" i="1"/>
  <c r="V100" i="1"/>
  <c r="T97" i="1"/>
  <c r="Y95" i="1"/>
  <c r="V94" i="1"/>
  <c r="V93" i="1"/>
  <c r="V92" i="1"/>
  <c r="T91" i="1"/>
  <c r="T90" i="1"/>
  <c r="T89" i="1"/>
  <c r="R88" i="1"/>
  <c r="R87" i="1"/>
  <c r="R86" i="1"/>
  <c r="X81" i="1"/>
  <c r="X80" i="1"/>
  <c r="X79" i="1"/>
  <c r="V78" i="1"/>
  <c r="V77" i="1"/>
  <c r="V76" i="1"/>
  <c r="T75" i="1"/>
  <c r="T74" i="1"/>
  <c r="T73" i="1"/>
  <c r="R72" i="1"/>
  <c r="R71" i="1"/>
  <c r="R70" i="1"/>
  <c r="X65" i="1"/>
  <c r="X64" i="1"/>
  <c r="X63" i="1"/>
  <c r="V62" i="1"/>
  <c r="V61" i="1"/>
  <c r="V60" i="1"/>
  <c r="T59" i="1"/>
  <c r="T58" i="1"/>
  <c r="T57" i="1"/>
  <c r="R56" i="1"/>
  <c r="R55" i="1"/>
  <c r="R54" i="1"/>
  <c r="X49" i="1"/>
  <c r="X48" i="1"/>
  <c r="X47" i="1"/>
  <c r="V46" i="1"/>
  <c r="V45" i="1"/>
  <c r="V44" i="1"/>
  <c r="T43" i="1"/>
  <c r="T42" i="1"/>
  <c r="T41" i="1"/>
  <c r="R40" i="1"/>
  <c r="R39" i="1"/>
  <c r="R38" i="1"/>
  <c r="X33" i="1"/>
  <c r="Y32" i="1"/>
  <c r="R30" i="1"/>
  <c r="R29" i="1"/>
  <c r="S28" i="1"/>
  <c r="T27" i="1"/>
  <c r="U26" i="1"/>
  <c r="V25" i="1"/>
  <c r="W24" i="1"/>
  <c r="X23" i="1"/>
  <c r="X22" i="1"/>
  <c r="Y21" i="1"/>
  <c r="R20" i="1"/>
  <c r="T19" i="1"/>
  <c r="V18" i="1"/>
  <c r="X17" i="1"/>
  <c r="R16" i="1"/>
  <c r="T15" i="1"/>
  <c r="V14" i="1"/>
  <c r="X13" i="1"/>
  <c r="R12" i="1"/>
  <c r="T11" i="1"/>
  <c r="V10" i="1"/>
  <c r="X9" i="1"/>
  <c r="R8" i="1"/>
  <c r="T7" i="1"/>
  <c r="V6" i="1"/>
  <c r="X5" i="1"/>
  <c r="T26" i="1"/>
  <c r="V24" i="1"/>
  <c r="X21" i="1"/>
  <c r="Y16" i="1"/>
  <c r="W13" i="1"/>
  <c r="U10" i="1"/>
  <c r="U6" i="1"/>
  <c r="V9" i="1"/>
  <c r="T6" i="1"/>
  <c r="S14" i="1"/>
  <c r="U9" i="1"/>
  <c r="Y120" i="1"/>
  <c r="S119" i="1"/>
  <c r="W117" i="1"/>
  <c r="U114" i="1"/>
  <c r="Y112" i="1"/>
  <c r="S111" i="1"/>
  <c r="W109" i="1"/>
  <c r="U106" i="1"/>
  <c r="Y104" i="1"/>
  <c r="S103" i="1"/>
  <c r="W101" i="1"/>
  <c r="U98" i="1"/>
  <c r="Y96" i="1"/>
  <c r="X95" i="1"/>
  <c r="U94" i="1"/>
  <c r="U93" i="1"/>
  <c r="S92" i="1"/>
  <c r="S91" i="1"/>
  <c r="S90" i="1"/>
  <c r="Y85" i="1"/>
  <c r="Y84" i="1"/>
  <c r="Y83" i="1"/>
  <c r="W82" i="1"/>
  <c r="W81" i="1"/>
  <c r="W80" i="1"/>
  <c r="U79" i="1"/>
  <c r="U78" i="1"/>
  <c r="U77" i="1"/>
  <c r="S76" i="1"/>
  <c r="S75" i="1"/>
  <c r="S74" i="1"/>
  <c r="Y69" i="1"/>
  <c r="Y68" i="1"/>
  <c r="Y67" i="1"/>
  <c r="W66" i="1"/>
  <c r="W65" i="1"/>
  <c r="W64" i="1"/>
  <c r="U63" i="1"/>
  <c r="U62" i="1"/>
  <c r="U61" i="1"/>
  <c r="S60" i="1"/>
  <c r="S59" i="1"/>
  <c r="S58" i="1"/>
  <c r="Y53" i="1"/>
  <c r="Y52" i="1"/>
  <c r="Y51" i="1"/>
  <c r="W50" i="1"/>
  <c r="W49" i="1"/>
  <c r="W48" i="1"/>
  <c r="U47" i="1"/>
  <c r="U46" i="1"/>
  <c r="U45" i="1"/>
  <c r="S44" i="1"/>
  <c r="S43" i="1"/>
  <c r="S42" i="1"/>
  <c r="Y37" i="1"/>
  <c r="Y36" i="1"/>
  <c r="Y35" i="1"/>
  <c r="W34" i="1"/>
  <c r="W33" i="1"/>
  <c r="X32" i="1"/>
  <c r="R28" i="1"/>
  <c r="S27" i="1"/>
  <c r="U25" i="1"/>
  <c r="V23" i="1"/>
  <c r="Y20" i="1"/>
  <c r="W17" i="1"/>
  <c r="S15" i="1"/>
  <c r="S11" i="1"/>
  <c r="X12" i="1"/>
  <c r="V5" i="1"/>
  <c r="U17" i="1"/>
  <c r="Y11" i="1"/>
  <c r="W8" i="1"/>
  <c r="Y116" i="1"/>
  <c r="Y100" i="1"/>
  <c r="Y91" i="1"/>
  <c r="U85" i="1"/>
  <c r="W73" i="1"/>
  <c r="U69" i="1"/>
  <c r="Y61" i="1"/>
  <c r="U54" i="1"/>
  <c r="Y43" i="1"/>
  <c r="S36" i="1"/>
  <c r="X120" i="1"/>
  <c r="R119" i="1"/>
  <c r="V117" i="1"/>
  <c r="T114" i="1"/>
  <c r="X112" i="1"/>
  <c r="R111" i="1"/>
  <c r="V109" i="1"/>
  <c r="T106" i="1"/>
  <c r="X104" i="1"/>
  <c r="R103" i="1"/>
  <c r="V101" i="1"/>
  <c r="T98" i="1"/>
  <c r="X96" i="1"/>
  <c r="T95" i="1"/>
  <c r="T94" i="1"/>
  <c r="T93" i="1"/>
  <c r="R92" i="1"/>
  <c r="R91" i="1"/>
  <c r="R90" i="1"/>
  <c r="X85" i="1"/>
  <c r="X84" i="1"/>
  <c r="X83" i="1"/>
  <c r="V82" i="1"/>
  <c r="V81" i="1"/>
  <c r="V80" i="1"/>
  <c r="T79" i="1"/>
  <c r="T78" i="1"/>
  <c r="T77" i="1"/>
  <c r="R76" i="1"/>
  <c r="R75" i="1"/>
  <c r="R74" i="1"/>
  <c r="X69" i="1"/>
  <c r="X68" i="1"/>
  <c r="X67" i="1"/>
  <c r="V66" i="1"/>
  <c r="V65" i="1"/>
  <c r="V64" i="1"/>
  <c r="T63" i="1"/>
  <c r="T62" i="1"/>
  <c r="T61" i="1"/>
  <c r="R60" i="1"/>
  <c r="R59" i="1"/>
  <c r="R58" i="1"/>
  <c r="X53" i="1"/>
  <c r="X52" i="1"/>
  <c r="X51" i="1"/>
  <c r="V50" i="1"/>
  <c r="V49" i="1"/>
  <c r="V48" i="1"/>
  <c r="T47" i="1"/>
  <c r="T46" i="1"/>
  <c r="T45" i="1"/>
  <c r="R44" i="1"/>
  <c r="R43" i="1"/>
  <c r="R42" i="1"/>
  <c r="X37" i="1"/>
  <c r="X36" i="1"/>
  <c r="X35" i="1"/>
  <c r="V34" i="1"/>
  <c r="V33" i="1"/>
  <c r="W32" i="1"/>
  <c r="X31" i="1"/>
  <c r="X30" i="1"/>
  <c r="Y29" i="1"/>
  <c r="R27" i="1"/>
  <c r="S26" i="1"/>
  <c r="T25" i="1"/>
  <c r="T24" i="1"/>
  <c r="U23" i="1"/>
  <c r="V22" i="1"/>
  <c r="W21" i="1"/>
  <c r="X20" i="1"/>
  <c r="T18" i="1"/>
  <c r="X16" i="1"/>
  <c r="T14" i="1"/>
  <c r="X8" i="1"/>
  <c r="W12" i="1"/>
  <c r="U5" i="1"/>
  <c r="V12" i="1"/>
  <c r="R10" i="1"/>
  <c r="X7" i="1"/>
  <c r="T5" i="1"/>
  <c r="U118" i="1"/>
  <c r="U110" i="1"/>
  <c r="S107" i="1"/>
  <c r="U102" i="1"/>
  <c r="Y93" i="1"/>
  <c r="W90" i="1"/>
  <c r="S84" i="1"/>
  <c r="W74" i="1"/>
  <c r="U70" i="1"/>
  <c r="U55" i="1"/>
  <c r="U37" i="1"/>
  <c r="W120" i="1"/>
  <c r="U117" i="1"/>
  <c r="Y115" i="1"/>
  <c r="S114" i="1"/>
  <c r="W112" i="1"/>
  <c r="U109" i="1"/>
  <c r="Y107" i="1"/>
  <c r="S106" i="1"/>
  <c r="W104" i="1"/>
  <c r="U101" i="1"/>
  <c r="Y99" i="1"/>
  <c r="S98" i="1"/>
  <c r="W96" i="1"/>
  <c r="S95" i="1"/>
  <c r="S94" i="1"/>
  <c r="Y89" i="1"/>
  <c r="Y88" i="1"/>
  <c r="Y87" i="1"/>
  <c r="W86" i="1"/>
  <c r="W85" i="1"/>
  <c r="W84" i="1"/>
  <c r="U83" i="1"/>
  <c r="U82" i="1"/>
  <c r="U81" i="1"/>
  <c r="S80" i="1"/>
  <c r="S79" i="1"/>
  <c r="S78" i="1"/>
  <c r="Y73" i="1"/>
  <c r="Y72" i="1"/>
  <c r="Y71" i="1"/>
  <c r="W70" i="1"/>
  <c r="W69" i="1"/>
  <c r="W68" i="1"/>
  <c r="U67" i="1"/>
  <c r="U66" i="1"/>
  <c r="U65" i="1"/>
  <c r="S64" i="1"/>
  <c r="S63" i="1"/>
  <c r="S62" i="1"/>
  <c r="Y57" i="1"/>
  <c r="Y56" i="1"/>
  <c r="Y55" i="1"/>
  <c r="W54" i="1"/>
  <c r="W53" i="1"/>
  <c r="W52" i="1"/>
  <c r="U51" i="1"/>
  <c r="U50" i="1"/>
  <c r="U49" i="1"/>
  <c r="S48" i="1"/>
  <c r="S47" i="1"/>
  <c r="S46" i="1"/>
  <c r="Y41" i="1"/>
  <c r="Y40" i="1"/>
  <c r="Y39" i="1"/>
  <c r="W38" i="1"/>
  <c r="W37" i="1"/>
  <c r="W36" i="1"/>
  <c r="U35" i="1"/>
  <c r="U34" i="1"/>
  <c r="U33" i="1"/>
  <c r="V32" i="1"/>
  <c r="V31" i="1"/>
  <c r="W30" i="1"/>
  <c r="X29" i="1"/>
  <c r="Y28" i="1"/>
  <c r="R26" i="1"/>
  <c r="R25" i="1"/>
  <c r="S24" i="1"/>
  <c r="T23" i="1"/>
  <c r="U22" i="1"/>
  <c r="V21" i="1"/>
  <c r="W20" i="1"/>
  <c r="Y19" i="1"/>
  <c r="S18" i="1"/>
  <c r="W16" i="1"/>
  <c r="U13" i="1"/>
  <c r="S10" i="1"/>
  <c r="S6" i="1"/>
  <c r="V8" i="1"/>
  <c r="R6" i="1"/>
  <c r="W97" i="1"/>
  <c r="Y76" i="1"/>
  <c r="S68" i="1"/>
  <c r="Y60" i="1"/>
  <c r="U53" i="1"/>
  <c r="W40" i="1"/>
  <c r="S34" i="1"/>
  <c r="V120" i="1"/>
  <c r="T117" i="1"/>
  <c r="X115" i="1"/>
  <c r="R114" i="1"/>
  <c r="V112" i="1"/>
  <c r="T109" i="1"/>
  <c r="X107" i="1"/>
  <c r="R106" i="1"/>
  <c r="V104" i="1"/>
  <c r="T101" i="1"/>
  <c r="X99" i="1"/>
  <c r="R98" i="1"/>
  <c r="V96" i="1"/>
  <c r="R95" i="1"/>
  <c r="R94" i="1"/>
  <c r="X89" i="1"/>
  <c r="X88" i="1"/>
  <c r="X87" i="1"/>
  <c r="V86" i="1"/>
  <c r="V85" i="1"/>
  <c r="V84" i="1"/>
  <c r="T83" i="1"/>
  <c r="T82" i="1"/>
  <c r="T81" i="1"/>
  <c r="R80" i="1"/>
  <c r="R79" i="1"/>
  <c r="R78" i="1"/>
  <c r="X73" i="1"/>
  <c r="X72" i="1"/>
  <c r="X71" i="1"/>
  <c r="V70" i="1"/>
  <c r="V69" i="1"/>
  <c r="V68" i="1"/>
  <c r="T67" i="1"/>
  <c r="T66" i="1"/>
  <c r="T65" i="1"/>
  <c r="R64" i="1"/>
  <c r="R63" i="1"/>
  <c r="R62" i="1"/>
  <c r="X57" i="1"/>
  <c r="X56" i="1"/>
  <c r="X55" i="1"/>
  <c r="V54" i="1"/>
  <c r="V53" i="1"/>
  <c r="V52" i="1"/>
  <c r="T51" i="1"/>
  <c r="T50" i="1"/>
  <c r="T49" i="1"/>
  <c r="R48" i="1"/>
  <c r="R47" i="1"/>
  <c r="R46" i="1"/>
  <c r="X41" i="1"/>
  <c r="X40" i="1"/>
  <c r="X39" i="1"/>
  <c r="V38" i="1"/>
  <c r="V37" i="1"/>
  <c r="V36" i="1"/>
  <c r="T35" i="1"/>
  <c r="T34" i="1"/>
  <c r="T33" i="1"/>
  <c r="T32" i="1"/>
  <c r="U31" i="1"/>
  <c r="V30" i="1"/>
  <c r="W29" i="1"/>
  <c r="X28" i="1"/>
  <c r="Y27" i="1"/>
  <c r="R24" i="1"/>
  <c r="S23" i="1"/>
  <c r="T22" i="1"/>
  <c r="U21" i="1"/>
  <c r="V20" i="1"/>
  <c r="X19" i="1"/>
  <c r="R18" i="1"/>
  <c r="T17" i="1"/>
  <c r="V16" i="1"/>
  <c r="X15" i="1"/>
  <c r="R14" i="1"/>
  <c r="X11" i="1"/>
  <c r="T9" i="1"/>
  <c r="U86" i="1"/>
  <c r="W56" i="1"/>
  <c r="W41" i="1"/>
  <c r="R33" i="1"/>
  <c r="S115" i="1"/>
  <c r="W113" i="1"/>
  <c r="Y108" i="1"/>
  <c r="W105" i="1"/>
  <c r="S99" i="1"/>
  <c r="Y92" i="1"/>
  <c r="W89" i="1"/>
  <c r="W88" i="1"/>
  <c r="S83" i="1"/>
  <c r="W72" i="1"/>
  <c r="S66" i="1"/>
  <c r="W58" i="1"/>
  <c r="S52" i="1"/>
  <c r="Y44" i="1"/>
  <c r="U38" i="1"/>
  <c r="S35" i="1"/>
  <c r="Y25" i="1"/>
  <c r="Y18" i="1"/>
  <c r="U12" i="1"/>
  <c r="S32" i="1"/>
  <c r="W11" i="1"/>
  <c r="S5" i="1"/>
  <c r="T31" i="1"/>
  <c r="S17" i="1"/>
  <c r="Y10" i="1"/>
  <c r="U30" i="1"/>
  <c r="R23" i="1"/>
  <c r="U16" i="1"/>
  <c r="V29" i="1"/>
  <c r="S22" i="1"/>
  <c r="W15" i="1"/>
  <c r="S9" i="1"/>
  <c r="W28" i="1"/>
  <c r="T21" i="1"/>
  <c r="Y14" i="1"/>
  <c r="U8" i="1"/>
  <c r="X27" i="1"/>
  <c r="U20" i="1"/>
  <c r="W7" i="1"/>
  <c r="X26" i="1"/>
  <c r="W19" i="1"/>
  <c r="S13" i="1"/>
  <c r="Y6" i="1"/>
  <c r="C13" i="10" l="1"/>
  <c r="C12" i="10"/>
  <c r="C11" i="10"/>
  <c r="C10" i="10"/>
  <c r="G11" i="10"/>
  <c r="H10" i="10"/>
  <c r="I13" i="10"/>
  <c r="D11" i="10"/>
  <c r="H11" i="10"/>
  <c r="D12" i="10"/>
  <c r="D13" i="10"/>
  <c r="G13" i="10"/>
  <c r="H12" i="10"/>
  <c r="I11" i="10"/>
  <c r="B12" i="10"/>
  <c r="G12" i="10"/>
  <c r="I10" i="10"/>
  <c r="D10" i="10"/>
  <c r="G10" i="10"/>
  <c r="H13" i="10"/>
  <c r="I12" i="10"/>
  <c r="B13" i="10"/>
  <c r="B10" i="10"/>
  <c r="B11" i="10"/>
  <c r="A2" i="10" l="1"/>
  <c r="A9" i="10"/>
  <c r="A8" i="10"/>
  <c r="A7" i="10"/>
  <c r="A6" i="10"/>
  <c r="A5" i="10"/>
  <c r="A4" i="10"/>
  <c r="A3" i="10"/>
  <c r="Q33" i="1"/>
  <c r="P89" i="1"/>
  <c r="J25" i="1"/>
  <c r="O27" i="1"/>
  <c r="L86" i="1"/>
  <c r="J61" i="1"/>
  <c r="L36" i="1"/>
  <c r="N88" i="1"/>
  <c r="G10" i="1"/>
  <c r="Q55" i="1"/>
  <c r="J16" i="1"/>
  <c r="N18" i="1"/>
  <c r="E17" i="1"/>
  <c r="P97" i="1"/>
  <c r="Q37" i="1"/>
  <c r="C43" i="1"/>
  <c r="G63" i="1"/>
  <c r="M22" i="1"/>
  <c r="H103" i="1"/>
  <c r="L114" i="1"/>
  <c r="O98" i="1"/>
  <c r="M92" i="1"/>
  <c r="K12" i="1"/>
  <c r="O75" i="1"/>
  <c r="Q69" i="1"/>
  <c r="L21" i="1"/>
  <c r="L8" i="1"/>
  <c r="E84" i="1"/>
  <c r="D39" i="1"/>
  <c r="H9" i="1"/>
  <c r="E47" i="1"/>
  <c r="N113" i="1"/>
  <c r="F78" i="1"/>
  <c r="Q60" i="1"/>
  <c r="J47" i="1"/>
  <c r="N64" i="1"/>
  <c r="F116" i="1"/>
  <c r="O68" i="1"/>
  <c r="H83" i="1"/>
  <c r="K39" i="1"/>
  <c r="E79" i="1"/>
  <c r="N117" i="1"/>
  <c r="P62" i="1"/>
  <c r="M53" i="1"/>
  <c r="O80" i="1"/>
  <c r="K20" i="1"/>
  <c r="P102" i="1"/>
  <c r="Q30" i="1"/>
  <c r="O107" i="1"/>
  <c r="B84" i="1"/>
  <c r="L75" i="1"/>
  <c r="I75" i="1"/>
  <c r="K19" i="1"/>
  <c r="L24" i="1"/>
  <c r="K5" i="1"/>
  <c r="K18" i="1"/>
  <c r="Q102" i="1"/>
  <c r="O45" i="1"/>
  <c r="L31" i="1"/>
  <c r="F102" i="1"/>
  <c r="Q96" i="1"/>
  <c r="J83" i="1"/>
  <c r="N79" i="1"/>
  <c r="O20" i="1"/>
  <c r="H23" i="1"/>
  <c r="P60" i="1"/>
  <c r="J43" i="1"/>
  <c r="I7" i="1"/>
  <c r="N36" i="1"/>
  <c r="I32" i="1"/>
  <c r="I49" i="1"/>
  <c r="K110" i="1"/>
  <c r="I58" i="1"/>
  <c r="J121" i="1"/>
  <c r="G19" i="1"/>
  <c r="Q87" i="1"/>
  <c r="N70" i="1"/>
  <c r="N91" i="1"/>
  <c r="O59" i="1"/>
  <c r="Q32" i="1"/>
  <c r="O40" i="1"/>
  <c r="M93" i="1"/>
  <c r="I15" i="1"/>
  <c r="Q114" i="1"/>
  <c r="P74" i="1"/>
  <c r="I38" i="1"/>
  <c r="C36" i="1"/>
  <c r="C32" i="1"/>
  <c r="H31" i="1"/>
  <c r="O58" i="1"/>
  <c r="J8" i="1"/>
  <c r="L33" i="1"/>
  <c r="M121" i="1"/>
  <c r="K63" i="1"/>
  <c r="J53" i="1"/>
  <c r="C60" i="1"/>
  <c r="B101" i="1"/>
  <c r="H70" i="1"/>
  <c r="G49" i="1"/>
  <c r="M113" i="1"/>
  <c r="K62" i="1"/>
  <c r="D14" i="1"/>
  <c r="M70" i="1"/>
  <c r="E114" i="1"/>
  <c r="P110" i="1"/>
  <c r="L43" i="1"/>
  <c r="E69" i="1"/>
  <c r="E14" i="1"/>
  <c r="C77" i="1"/>
  <c r="K36" i="1"/>
  <c r="O14" i="1"/>
  <c r="B74" i="1"/>
  <c r="D46" i="1"/>
  <c r="B7" i="1"/>
  <c r="H40" i="1"/>
  <c r="J114" i="1"/>
  <c r="L38" i="1"/>
  <c r="B90" i="1"/>
  <c r="H97" i="1"/>
  <c r="E18" i="1"/>
  <c r="I86" i="1"/>
  <c r="L88" i="1"/>
  <c r="G87" i="1"/>
  <c r="B79" i="1"/>
  <c r="P63" i="1"/>
  <c r="H88" i="1"/>
  <c r="G89" i="1"/>
  <c r="C34" i="1"/>
  <c r="P104" i="1"/>
  <c r="B93" i="1"/>
  <c r="G17" i="1"/>
  <c r="I116" i="1"/>
  <c r="G43" i="1"/>
  <c r="Q27" i="1"/>
  <c r="Q46" i="1"/>
  <c r="H27" i="1"/>
  <c r="L40" i="1"/>
  <c r="O28" i="1"/>
  <c r="K16" i="1"/>
  <c r="I55" i="1"/>
  <c r="E21" i="1"/>
  <c r="C63" i="1"/>
  <c r="C67" i="1"/>
  <c r="Q23" i="1"/>
  <c r="D119" i="1"/>
  <c r="D53" i="1"/>
  <c r="J31" i="1"/>
  <c r="M75" i="1"/>
  <c r="P79" i="1"/>
  <c r="N12" i="1"/>
  <c r="Q110" i="1"/>
  <c r="F118" i="1"/>
  <c r="N68" i="1"/>
  <c r="O52" i="1"/>
  <c r="L45" i="1"/>
  <c r="J37" i="1"/>
  <c r="G56" i="1"/>
  <c r="C106" i="1"/>
  <c r="B66" i="1"/>
  <c r="J39" i="1"/>
  <c r="G11" i="1"/>
  <c r="N48" i="1"/>
  <c r="J94" i="1"/>
  <c r="L64" i="1"/>
  <c r="E67" i="1"/>
  <c r="C66" i="1"/>
  <c r="J29" i="1"/>
  <c r="C7" i="1"/>
  <c r="I80" i="1"/>
  <c r="D101" i="1"/>
  <c r="P42" i="1"/>
  <c r="Q34" i="1"/>
  <c r="Q36" i="1"/>
  <c r="M76" i="1"/>
  <c r="J44" i="1"/>
  <c r="P49" i="1"/>
  <c r="H81" i="1"/>
  <c r="F121" i="1"/>
  <c r="C83" i="1"/>
  <c r="N119" i="1"/>
  <c r="Q5" i="1"/>
  <c r="I11" i="1"/>
  <c r="O29" i="1"/>
  <c r="B9" i="1"/>
  <c r="Q6" i="1"/>
  <c r="G114" i="1"/>
  <c r="E26" i="1"/>
  <c r="O120" i="1"/>
  <c r="P85" i="1"/>
  <c r="H45" i="1"/>
  <c r="F34" i="1"/>
  <c r="D21" i="1"/>
  <c r="P77" i="1"/>
  <c r="F94" i="1"/>
  <c r="K71" i="1"/>
  <c r="O92" i="1"/>
  <c r="B51" i="1"/>
  <c r="M61" i="1"/>
  <c r="O44" i="1"/>
  <c r="D34" i="1"/>
  <c r="Q17" i="1"/>
  <c r="J86" i="1"/>
  <c r="H74" i="1"/>
  <c r="Q100" i="1"/>
  <c r="M89" i="1"/>
  <c r="B119" i="1"/>
  <c r="C91" i="1"/>
  <c r="D35" i="1"/>
  <c r="O13" i="1"/>
  <c r="C65" i="1"/>
  <c r="I70" i="1"/>
  <c r="K29" i="1"/>
  <c r="G54" i="1"/>
  <c r="C28" i="1"/>
  <c r="B95" i="1"/>
  <c r="K53" i="1"/>
  <c r="Q78" i="1"/>
  <c r="I52" i="1"/>
  <c r="J78" i="1"/>
  <c r="Q81" i="1"/>
  <c r="M95" i="1"/>
  <c r="K68" i="1"/>
  <c r="O112" i="1"/>
  <c r="B82" i="1"/>
  <c r="C119" i="1"/>
  <c r="L111" i="1"/>
  <c r="C82" i="1"/>
  <c r="F86" i="1"/>
  <c r="K46" i="1"/>
  <c r="G106" i="1"/>
  <c r="E66" i="1"/>
  <c r="M8" i="1"/>
  <c r="P81" i="1"/>
  <c r="H114" i="1"/>
  <c r="J91" i="1"/>
  <c r="C118" i="1"/>
  <c r="J101" i="1"/>
  <c r="M118" i="1"/>
  <c r="P107" i="1"/>
  <c r="K113" i="1"/>
  <c r="H25" i="1"/>
  <c r="M63" i="1"/>
  <c r="N23" i="1"/>
  <c r="O37" i="1"/>
  <c r="J13" i="1"/>
  <c r="P108" i="1"/>
  <c r="K105" i="1"/>
  <c r="E99" i="1"/>
  <c r="L41" i="1"/>
  <c r="D41" i="1"/>
  <c r="N69" i="1"/>
  <c r="Q58" i="1"/>
  <c r="J15" i="1"/>
  <c r="M110" i="1"/>
  <c r="F109" i="1"/>
  <c r="J84" i="1"/>
  <c r="K64" i="1"/>
  <c r="M31" i="1"/>
  <c r="M44" i="1"/>
  <c r="F38" i="1"/>
  <c r="I40" i="1"/>
  <c r="D59" i="1"/>
  <c r="O16" i="1"/>
  <c r="M73" i="1"/>
  <c r="G39" i="1"/>
  <c r="P10" i="1"/>
  <c r="I64" i="1"/>
  <c r="K9" i="1"/>
  <c r="L47" i="1"/>
  <c r="N33" i="1"/>
  <c r="L102" i="1"/>
  <c r="D13" i="1"/>
  <c r="O41" i="1"/>
  <c r="N37" i="1"/>
  <c r="I34" i="1"/>
  <c r="F29" i="1"/>
  <c r="M78" i="1"/>
  <c r="K70" i="1"/>
  <c r="F93" i="1"/>
  <c r="F42" i="1"/>
  <c r="J55" i="1"/>
  <c r="Q52" i="1"/>
  <c r="C84" i="1"/>
  <c r="M120" i="1"/>
  <c r="L18" i="1"/>
  <c r="H61" i="1"/>
  <c r="J56" i="1"/>
  <c r="L85" i="1"/>
  <c r="K56" i="1"/>
  <c r="K22" i="1"/>
  <c r="L91" i="1"/>
  <c r="H69" i="1"/>
  <c r="G100" i="1"/>
  <c r="O22" i="1"/>
  <c r="L68" i="1"/>
  <c r="K87" i="1"/>
  <c r="M77" i="1"/>
  <c r="G80" i="1"/>
  <c r="E89" i="1"/>
  <c r="L72" i="1"/>
  <c r="H76" i="1"/>
  <c r="F89" i="1"/>
  <c r="E95" i="1"/>
  <c r="G20" i="1"/>
  <c r="C86" i="1"/>
  <c r="B55" i="1"/>
  <c r="L62" i="1"/>
  <c r="D58" i="1"/>
  <c r="D15" i="1"/>
  <c r="E10" i="1"/>
  <c r="K97" i="1"/>
  <c r="L89" i="1"/>
  <c r="P75" i="1"/>
  <c r="C57" i="1"/>
  <c r="D80" i="1"/>
  <c r="N86" i="1"/>
  <c r="E86" i="1"/>
  <c r="P25" i="1"/>
  <c r="J42" i="1"/>
  <c r="K23" i="1"/>
  <c r="C30" i="1"/>
  <c r="K115" i="1"/>
  <c r="P11" i="1"/>
  <c r="H44" i="1"/>
  <c r="Q71" i="1"/>
  <c r="K112" i="1"/>
  <c r="H78" i="1"/>
  <c r="I59" i="1"/>
  <c r="L27" i="1"/>
  <c r="N108" i="1"/>
  <c r="N80" i="1"/>
  <c r="N114" i="1"/>
  <c r="P101" i="1"/>
  <c r="M98" i="1"/>
  <c r="H96" i="1"/>
  <c r="P23" i="1"/>
  <c r="N25" i="1"/>
  <c r="E56" i="1"/>
  <c r="D38" i="1"/>
  <c r="Q75" i="1"/>
  <c r="B59" i="1"/>
  <c r="I20" i="1"/>
  <c r="E81" i="1"/>
  <c r="I36" i="1"/>
  <c r="F10" i="1"/>
  <c r="G112" i="1"/>
  <c r="H5" i="1"/>
  <c r="J36" i="1"/>
  <c r="M50" i="1"/>
  <c r="B26" i="1"/>
  <c r="B116" i="1"/>
  <c r="C85" i="1"/>
  <c r="B73" i="1"/>
  <c r="C80" i="1"/>
  <c r="M83" i="1"/>
  <c r="M56" i="1"/>
  <c r="P15" i="1"/>
  <c r="K78" i="1"/>
  <c r="B16" i="1"/>
  <c r="O48" i="1"/>
  <c r="I18" i="1"/>
  <c r="K96" i="1"/>
  <c r="E13" i="1"/>
  <c r="F90" i="1"/>
  <c r="Q95" i="1"/>
  <c r="D85" i="1"/>
  <c r="H32" i="1"/>
  <c r="L117" i="1"/>
  <c r="J49" i="1"/>
  <c r="J115" i="1"/>
  <c r="D10" i="1"/>
  <c r="K38" i="1"/>
  <c r="K66" i="1"/>
  <c r="N82" i="1"/>
  <c r="Q74" i="1"/>
  <c r="B53" i="1"/>
  <c r="H102" i="1"/>
  <c r="J112" i="1"/>
  <c r="Q85" i="1"/>
  <c r="M30" i="1"/>
  <c r="Q14" i="1"/>
  <c r="G9" i="1"/>
  <c r="M58" i="1"/>
  <c r="N110" i="1"/>
  <c r="L17" i="1"/>
  <c r="L39" i="1"/>
  <c r="B81" i="1"/>
  <c r="O69" i="1"/>
  <c r="K95" i="1"/>
  <c r="G105" i="1"/>
  <c r="K121" i="1"/>
  <c r="I76" i="1"/>
  <c r="F55" i="1"/>
  <c r="E31" i="1"/>
  <c r="M117" i="1"/>
  <c r="H86" i="1"/>
  <c r="P65" i="1"/>
  <c r="Q22" i="1"/>
  <c r="D26" i="1"/>
  <c r="P9" i="1"/>
  <c r="D66" i="1"/>
  <c r="N39" i="1"/>
  <c r="H104" i="1"/>
  <c r="E80" i="1"/>
  <c r="P78" i="1"/>
  <c r="N21" i="1"/>
  <c r="O24" i="1"/>
  <c r="P30" i="1"/>
  <c r="L80" i="1"/>
  <c r="H107" i="1"/>
  <c r="I67" i="1"/>
  <c r="Q7" i="1"/>
  <c r="N73" i="1"/>
  <c r="N98" i="1"/>
  <c r="Q59" i="1"/>
  <c r="Q116" i="1"/>
  <c r="G60" i="1"/>
  <c r="J104" i="1"/>
  <c r="B10" i="1"/>
  <c r="H77" i="1"/>
  <c r="O77" i="1"/>
  <c r="E101" i="1"/>
  <c r="H119" i="1"/>
  <c r="M109" i="1"/>
  <c r="F100" i="1"/>
  <c r="N42" i="1"/>
  <c r="E49" i="1"/>
  <c r="I19" i="1"/>
  <c r="E119" i="1"/>
  <c r="O72" i="1"/>
  <c r="K106" i="1"/>
  <c r="I88" i="1"/>
  <c r="K84" i="1"/>
  <c r="K111" i="1"/>
  <c r="G97" i="1"/>
  <c r="K13" i="1"/>
  <c r="K15" i="1"/>
  <c r="E33" i="1"/>
  <c r="Q64" i="1"/>
  <c r="E63" i="1"/>
  <c r="B5" i="1"/>
  <c r="F73" i="1"/>
  <c r="G88" i="1"/>
  <c r="C113" i="1"/>
  <c r="K17" i="1"/>
  <c r="Q93" i="1"/>
  <c r="D32" i="1"/>
  <c r="H113" i="1"/>
  <c r="C89" i="1"/>
  <c r="J33" i="1"/>
  <c r="B106" i="1"/>
  <c r="I25" i="1"/>
  <c r="J6" i="1"/>
  <c r="G103" i="1"/>
  <c r="F19" i="1"/>
  <c r="H60" i="1"/>
  <c r="J28" i="1"/>
  <c r="H68" i="1"/>
  <c r="Q91" i="1"/>
  <c r="N6" i="1"/>
  <c r="O99" i="1"/>
  <c r="O64" i="1"/>
  <c r="G37" i="1"/>
  <c r="B8" i="1"/>
  <c r="B70" i="1"/>
  <c r="E65" i="1"/>
  <c r="D116" i="1"/>
  <c r="P7" i="1"/>
  <c r="F16" i="1"/>
  <c r="F74" i="1"/>
  <c r="O87" i="1"/>
  <c r="P96" i="1"/>
  <c r="D24" i="1"/>
  <c r="C20" i="1"/>
  <c r="J89" i="1"/>
  <c r="F58" i="1"/>
  <c r="P24" i="1"/>
  <c r="M26" i="1"/>
  <c r="N56" i="1"/>
  <c r="O36" i="1"/>
  <c r="B22" i="1"/>
  <c r="E77" i="1"/>
  <c r="N26" i="1"/>
  <c r="J90" i="1"/>
  <c r="M112" i="1"/>
  <c r="Q86" i="1"/>
  <c r="Q107" i="1"/>
  <c r="F84" i="1"/>
  <c r="O90" i="1"/>
  <c r="Q80" i="1"/>
  <c r="C55" i="1"/>
  <c r="K77" i="1"/>
  <c r="Q29" i="1"/>
  <c r="M86" i="1"/>
  <c r="K43" i="1"/>
  <c r="C62" i="1"/>
  <c r="L54" i="1"/>
  <c r="I117" i="1"/>
  <c r="J51" i="1"/>
  <c r="H33" i="1"/>
  <c r="I56" i="1"/>
  <c r="C92" i="1"/>
  <c r="E7" i="1"/>
  <c r="P35" i="1"/>
  <c r="B40" i="1"/>
  <c r="O32" i="1"/>
  <c r="J60" i="1"/>
  <c r="J9" i="1"/>
  <c r="J102" i="1"/>
  <c r="O47" i="1"/>
  <c r="G90" i="1"/>
  <c r="E34" i="1"/>
  <c r="K103" i="1"/>
  <c r="Q94" i="1"/>
  <c r="G59" i="1"/>
  <c r="M91" i="1"/>
  <c r="G47" i="1"/>
  <c r="O26" i="1"/>
  <c r="C76" i="1"/>
  <c r="I77" i="1"/>
  <c r="I114" i="1"/>
  <c r="M18" i="1"/>
  <c r="D90" i="1"/>
  <c r="L55" i="1"/>
  <c r="D67" i="1"/>
  <c r="K120" i="1"/>
  <c r="L48" i="1"/>
  <c r="P90" i="1"/>
  <c r="O70" i="1"/>
  <c r="L13" i="1"/>
  <c r="C5" i="1"/>
  <c r="H67" i="1"/>
  <c r="J64" i="1"/>
  <c r="F61" i="1"/>
  <c r="P67" i="1"/>
  <c r="L44" i="1"/>
  <c r="M84" i="1"/>
  <c r="I112" i="1"/>
  <c r="F33" i="1"/>
  <c r="P111" i="1"/>
  <c r="N74" i="1"/>
  <c r="J17" i="1"/>
  <c r="Q73" i="1"/>
  <c r="M97" i="1"/>
  <c r="I21" i="1"/>
  <c r="O63" i="1"/>
  <c r="N40" i="1"/>
  <c r="O119" i="1"/>
  <c r="B18" i="1"/>
  <c r="J38" i="1"/>
  <c r="E117" i="1"/>
  <c r="J77" i="1"/>
  <c r="B110" i="1"/>
  <c r="G28" i="1"/>
  <c r="G74" i="1"/>
  <c r="M21" i="1"/>
  <c r="O30" i="1"/>
  <c r="K83" i="1"/>
  <c r="K82" i="1"/>
  <c r="J23" i="1"/>
  <c r="O35" i="1"/>
  <c r="F79" i="1"/>
  <c r="G34" i="1"/>
  <c r="F54" i="1"/>
  <c r="O7" i="1"/>
  <c r="J12" i="1"/>
  <c r="E73" i="1"/>
  <c r="L22" i="1"/>
  <c r="E103" i="1"/>
  <c r="O25" i="1"/>
  <c r="B58" i="1"/>
  <c r="E115" i="1"/>
  <c r="D48" i="1"/>
  <c r="D44" i="1"/>
  <c r="K92" i="1"/>
  <c r="O8" i="1"/>
  <c r="Q25" i="1"/>
  <c r="P51" i="1"/>
  <c r="G6" i="1"/>
  <c r="G108" i="1"/>
  <c r="B86" i="1"/>
  <c r="M51" i="1"/>
  <c r="C42" i="1"/>
  <c r="F17" i="1"/>
  <c r="E64" i="1"/>
  <c r="D60" i="1"/>
  <c r="L60" i="1"/>
  <c r="O18" i="1"/>
  <c r="J35" i="1"/>
  <c r="F80" i="1"/>
  <c r="Q47" i="1"/>
  <c r="I33" i="1"/>
  <c r="B87" i="1"/>
  <c r="H38" i="1"/>
  <c r="P55" i="1"/>
  <c r="Q45" i="1"/>
  <c r="M49" i="1"/>
  <c r="Q103" i="1"/>
  <c r="M40" i="1"/>
  <c r="N17" i="1"/>
  <c r="G51" i="1"/>
  <c r="C98" i="1"/>
  <c r="P121" i="1"/>
  <c r="C27" i="1"/>
  <c r="O96" i="1"/>
  <c r="O38" i="1"/>
  <c r="N106" i="1"/>
  <c r="P117" i="1"/>
  <c r="Q118" i="1"/>
  <c r="L96" i="1"/>
  <c r="P103" i="1"/>
  <c r="F64" i="1"/>
  <c r="H105" i="1"/>
  <c r="I42" i="1"/>
  <c r="H100" i="1"/>
  <c r="O105" i="1"/>
  <c r="J70" i="1"/>
  <c r="I53" i="1"/>
  <c r="O117" i="1"/>
  <c r="D106" i="1"/>
  <c r="N78" i="1"/>
  <c r="L121" i="1"/>
  <c r="O9" i="1"/>
  <c r="G95" i="1"/>
  <c r="K35" i="1"/>
  <c r="N84" i="1"/>
  <c r="G44" i="1"/>
  <c r="Q26" i="1"/>
  <c r="M23" i="1"/>
  <c r="O39" i="1"/>
  <c r="I120" i="1"/>
  <c r="J66" i="1"/>
  <c r="M42" i="1"/>
  <c r="H6" i="1"/>
  <c r="O61" i="1"/>
  <c r="F68" i="1"/>
  <c r="O88" i="1"/>
  <c r="K91" i="1"/>
  <c r="M57" i="1"/>
  <c r="M28" i="1"/>
  <c r="M55" i="1"/>
  <c r="H18" i="1"/>
  <c r="J52" i="1"/>
  <c r="N95" i="1"/>
  <c r="L53" i="1"/>
  <c r="C78" i="1"/>
  <c r="L105" i="1"/>
  <c r="J5" i="1"/>
  <c r="Q68" i="1"/>
  <c r="M85" i="1"/>
  <c r="N102" i="1"/>
  <c r="N45" i="1"/>
  <c r="M81" i="1"/>
  <c r="N7" i="1"/>
  <c r="I87" i="1"/>
  <c r="Q61" i="1"/>
  <c r="J62" i="1"/>
  <c r="O115" i="1"/>
  <c r="Q49" i="1"/>
  <c r="D42" i="1"/>
  <c r="Q84" i="1"/>
  <c r="L82" i="1"/>
  <c r="H21" i="1"/>
  <c r="O111" i="1"/>
  <c r="D76" i="1"/>
  <c r="O110" i="1"/>
  <c r="C23" i="1"/>
  <c r="H49" i="1"/>
  <c r="I57" i="1"/>
  <c r="N97" i="1"/>
  <c r="E78" i="1"/>
  <c r="E54" i="1"/>
  <c r="G57" i="1"/>
  <c r="J30" i="1"/>
  <c r="K42" i="1"/>
  <c r="L59" i="1"/>
  <c r="B43" i="1"/>
  <c r="N94" i="1"/>
  <c r="J32" i="1"/>
  <c r="B54" i="1"/>
  <c r="E8" i="1"/>
  <c r="G18" i="1"/>
  <c r="E87" i="1"/>
  <c r="C104" i="1"/>
  <c r="D98" i="1"/>
  <c r="O62" i="1"/>
  <c r="P72" i="1"/>
  <c r="E82" i="1"/>
  <c r="I110" i="1"/>
  <c r="I98" i="1"/>
  <c r="M66" i="1"/>
  <c r="G98" i="1"/>
  <c r="E25" i="1"/>
  <c r="D111" i="1"/>
  <c r="F108" i="1"/>
  <c r="B15" i="1"/>
  <c r="G76" i="1"/>
  <c r="B92" i="1"/>
  <c r="G111" i="1"/>
  <c r="P20" i="1"/>
  <c r="N89" i="1"/>
  <c r="H115" i="1"/>
  <c r="C112" i="1"/>
  <c r="N90" i="1"/>
  <c r="J98" i="1"/>
  <c r="Q43" i="1"/>
  <c r="K118" i="1"/>
  <c r="I35" i="1"/>
  <c r="M65" i="1"/>
  <c r="Q88" i="1"/>
  <c r="H116" i="1"/>
  <c r="J67" i="1"/>
  <c r="C54" i="1"/>
  <c r="P66" i="1"/>
  <c r="E92" i="1"/>
  <c r="N16" i="1"/>
  <c r="F56" i="1"/>
  <c r="F9" i="1"/>
  <c r="F41" i="1"/>
  <c r="Q10" i="1"/>
  <c r="O67" i="1"/>
  <c r="P28" i="1"/>
  <c r="P73" i="1"/>
  <c r="L94" i="1"/>
  <c r="B37" i="1"/>
  <c r="B80" i="1"/>
  <c r="K47" i="1"/>
  <c r="M115" i="1"/>
  <c r="N9" i="1"/>
  <c r="F11" i="1"/>
  <c r="Q115" i="1"/>
  <c r="F13" i="1"/>
  <c r="E38" i="1"/>
  <c r="F105" i="1"/>
  <c r="Q79" i="1"/>
  <c r="D47" i="1"/>
  <c r="F5" i="1"/>
  <c r="N28" i="1"/>
  <c r="D87" i="1"/>
  <c r="F103" i="1"/>
  <c r="K85" i="1"/>
  <c r="P113" i="1"/>
  <c r="F14" i="1"/>
  <c r="K59" i="1"/>
  <c r="F27" i="1"/>
  <c r="G68" i="1"/>
  <c r="P84" i="1"/>
  <c r="C22" i="1"/>
  <c r="P71" i="1"/>
  <c r="K11" i="1"/>
  <c r="D94" i="1"/>
  <c r="G65" i="1"/>
  <c r="E11" i="1"/>
  <c r="M5" i="1"/>
  <c r="I101" i="1"/>
  <c r="H28" i="1"/>
  <c r="B62" i="1"/>
  <c r="L49" i="1"/>
  <c r="H65" i="1"/>
  <c r="N19" i="1"/>
  <c r="P36" i="1"/>
  <c r="F46" i="1"/>
  <c r="E52" i="1"/>
  <c r="D63" i="1"/>
  <c r="K27" i="1"/>
  <c r="L83" i="1"/>
  <c r="L108" i="1"/>
  <c r="N29" i="1"/>
  <c r="H91" i="1"/>
  <c r="O11" i="1"/>
  <c r="D69" i="1"/>
  <c r="L7" i="1"/>
  <c r="Q54" i="1"/>
  <c r="I108" i="1"/>
  <c r="P80" i="1"/>
  <c r="M43" i="1"/>
  <c r="E118" i="1"/>
  <c r="C73" i="1"/>
  <c r="N100" i="1"/>
  <c r="K8" i="1"/>
  <c r="E42" i="1"/>
  <c r="G25" i="1"/>
  <c r="J113" i="1"/>
  <c r="F66" i="1"/>
  <c r="E68" i="1"/>
  <c r="H12" i="1"/>
  <c r="G64" i="1"/>
  <c r="F91" i="1"/>
  <c r="D68" i="1"/>
  <c r="M16" i="1"/>
  <c r="E12" i="1"/>
  <c r="F35" i="1"/>
  <c r="D50" i="1"/>
  <c r="E93" i="1"/>
  <c r="B6" i="1"/>
  <c r="Q67" i="1"/>
  <c r="H89" i="1"/>
  <c r="H54" i="1"/>
  <c r="F99" i="1"/>
  <c r="J10" i="1"/>
  <c r="F95" i="1"/>
  <c r="J57" i="1"/>
  <c r="Q50" i="1"/>
  <c r="L78" i="1"/>
  <c r="E6" i="1"/>
  <c r="I115" i="1"/>
  <c r="D8" i="1"/>
  <c r="B12" i="1"/>
  <c r="B88" i="1"/>
  <c r="C96" i="1"/>
  <c r="C102" i="1"/>
  <c r="B29" i="1"/>
  <c r="G58" i="1"/>
  <c r="I71" i="1"/>
  <c r="O114" i="1"/>
  <c r="B44" i="1"/>
  <c r="O42" i="1"/>
  <c r="I30" i="1"/>
  <c r="H79" i="1"/>
  <c r="N107" i="1"/>
  <c r="B78" i="1"/>
  <c r="M68" i="1"/>
  <c r="N27" i="1"/>
  <c r="F98" i="1"/>
  <c r="L15" i="1"/>
  <c r="O23" i="1"/>
  <c r="K76" i="1"/>
  <c r="E70" i="1"/>
  <c r="M10" i="1"/>
  <c r="G61" i="1"/>
  <c r="L104" i="1"/>
  <c r="M36" i="1"/>
  <c r="P83" i="1"/>
  <c r="J50" i="1"/>
  <c r="Q63" i="1"/>
  <c r="Q98" i="1"/>
  <c r="N96" i="1"/>
  <c r="M35" i="1"/>
  <c r="L66" i="1"/>
  <c r="D45" i="1"/>
  <c r="L115" i="1"/>
  <c r="N120" i="1"/>
  <c r="G83" i="1"/>
  <c r="P95" i="1"/>
  <c r="O95" i="1"/>
  <c r="M46" i="1"/>
  <c r="D82" i="1"/>
  <c r="D36" i="1"/>
  <c r="H120" i="1"/>
  <c r="B60" i="1"/>
  <c r="J54" i="1"/>
  <c r="P92" i="1"/>
  <c r="J111" i="1"/>
  <c r="O57" i="1"/>
  <c r="B23" i="1"/>
  <c r="C19" i="1"/>
  <c r="F28" i="1"/>
  <c r="C56" i="1"/>
  <c r="G29" i="1"/>
  <c r="H57" i="1"/>
  <c r="O46" i="1"/>
  <c r="M48" i="1"/>
  <c r="G22" i="1"/>
  <c r="J40" i="1"/>
  <c r="D7" i="1"/>
  <c r="F32" i="1"/>
  <c r="K24" i="1"/>
  <c r="I121" i="1"/>
  <c r="K98" i="1"/>
  <c r="F47" i="1"/>
  <c r="Q11" i="1"/>
  <c r="C41" i="1"/>
  <c r="L51" i="1"/>
  <c r="G50" i="1"/>
  <c r="G7" i="1"/>
  <c r="F92" i="1"/>
  <c r="P19" i="1"/>
  <c r="L87" i="1"/>
  <c r="B103" i="1"/>
  <c r="O89" i="1"/>
  <c r="G69" i="1"/>
  <c r="C107" i="1"/>
  <c r="F72" i="1"/>
  <c r="P26" i="1"/>
  <c r="D88" i="1"/>
  <c r="P58" i="1"/>
  <c r="F71" i="1"/>
  <c r="I79" i="1"/>
  <c r="I119" i="1"/>
  <c r="N20" i="1"/>
  <c r="P82" i="1"/>
  <c r="L9" i="1"/>
  <c r="M59" i="1"/>
  <c r="B21" i="1"/>
  <c r="Q117" i="1"/>
  <c r="C38" i="1"/>
  <c r="D97" i="1"/>
  <c r="I12" i="1"/>
  <c r="I13" i="1"/>
  <c r="N93" i="1"/>
  <c r="K93" i="1"/>
  <c r="B115" i="1"/>
  <c r="I92" i="1"/>
  <c r="B99" i="1"/>
  <c r="Q41" i="1"/>
  <c r="G8" i="1"/>
  <c r="M72" i="1"/>
  <c r="I41" i="1"/>
  <c r="G67" i="1"/>
  <c r="G96" i="1"/>
  <c r="H30" i="1"/>
  <c r="Q20" i="1"/>
  <c r="F81" i="1"/>
  <c r="H7" i="1"/>
  <c r="H73" i="1"/>
  <c r="J118" i="1"/>
  <c r="I82" i="1"/>
  <c r="P115" i="1"/>
  <c r="G70" i="1"/>
  <c r="C61" i="1"/>
  <c r="G117" i="1"/>
  <c r="I66" i="1"/>
  <c r="Q76" i="1"/>
  <c r="M60" i="1"/>
  <c r="O82" i="1"/>
  <c r="H121" i="1"/>
  <c r="D43" i="1"/>
  <c r="E51" i="1"/>
  <c r="L34" i="1"/>
  <c r="M64" i="1"/>
  <c r="J81" i="1"/>
  <c r="M39" i="1"/>
  <c r="G27" i="1"/>
  <c r="F37" i="1"/>
  <c r="C52" i="1"/>
  <c r="D27" i="1"/>
  <c r="P109" i="1"/>
  <c r="E15" i="1"/>
  <c r="I65" i="1"/>
  <c r="L97" i="1"/>
  <c r="I54" i="1"/>
  <c r="L50" i="1"/>
  <c r="F117" i="1"/>
  <c r="J85" i="1"/>
  <c r="D83" i="1"/>
  <c r="O100" i="1"/>
  <c r="O94" i="1"/>
  <c r="N24" i="1"/>
  <c r="C114" i="1"/>
  <c r="G92" i="1"/>
  <c r="Q13" i="1"/>
  <c r="P120" i="1"/>
  <c r="H56" i="1"/>
  <c r="J58" i="1"/>
  <c r="P8" i="1"/>
  <c r="O97" i="1"/>
  <c r="L28" i="1"/>
  <c r="B100" i="1"/>
  <c r="E110" i="1"/>
  <c r="L99" i="1"/>
  <c r="K44" i="1"/>
  <c r="Q113" i="1"/>
  <c r="B76" i="1"/>
  <c r="K55" i="1"/>
  <c r="K57" i="1"/>
  <c r="O50" i="1"/>
  <c r="F43" i="1"/>
  <c r="N85" i="1"/>
  <c r="F44" i="1"/>
  <c r="P100" i="1"/>
  <c r="H46" i="1"/>
  <c r="J95" i="1"/>
  <c r="H36" i="1"/>
  <c r="J68" i="1"/>
  <c r="P33" i="1"/>
  <c r="H20" i="1"/>
  <c r="M54" i="1"/>
  <c r="M6" i="1"/>
  <c r="G32" i="1"/>
  <c r="C71" i="1"/>
  <c r="E102" i="1"/>
  <c r="F23" i="1"/>
  <c r="K41" i="1"/>
  <c r="I51" i="1"/>
  <c r="L35" i="1"/>
  <c r="P44" i="1"/>
  <c r="I44" i="1"/>
  <c r="O49" i="1"/>
  <c r="K25" i="1"/>
  <c r="D9" i="1"/>
  <c r="E90" i="1"/>
  <c r="C35" i="1"/>
  <c r="O53" i="1"/>
  <c r="B105" i="1"/>
  <c r="B121" i="1"/>
  <c r="D20" i="1"/>
  <c r="D30" i="1"/>
  <c r="K107" i="1"/>
  <c r="I47" i="1"/>
  <c r="B35" i="1"/>
  <c r="J65" i="1"/>
  <c r="N11" i="1"/>
  <c r="H51" i="1"/>
  <c r="H112" i="1"/>
  <c r="C100" i="1"/>
  <c r="B108" i="1"/>
  <c r="G86" i="1"/>
  <c r="E120" i="1"/>
  <c r="I61" i="1"/>
  <c r="C50" i="1"/>
  <c r="P116" i="1"/>
  <c r="K48" i="1"/>
  <c r="L70" i="1"/>
  <c r="H84" i="1"/>
  <c r="H53" i="1"/>
  <c r="O93" i="1"/>
  <c r="I107" i="1"/>
  <c r="Q38" i="1"/>
  <c r="M94" i="1"/>
  <c r="I93" i="1"/>
  <c r="E111" i="1"/>
  <c r="E30" i="1"/>
  <c r="C81" i="1"/>
  <c r="D16" i="1"/>
  <c r="B27" i="1"/>
  <c r="C87" i="1"/>
  <c r="H111" i="1"/>
  <c r="G99" i="1"/>
  <c r="H62" i="1"/>
  <c r="C21" i="1"/>
  <c r="L76" i="1"/>
  <c r="B64" i="1"/>
  <c r="D28" i="1"/>
  <c r="O81" i="1"/>
  <c r="E85" i="1"/>
  <c r="C33" i="1"/>
  <c r="H41" i="1"/>
  <c r="M20" i="1"/>
  <c r="M106" i="1"/>
  <c r="E112" i="1"/>
  <c r="M47" i="1"/>
  <c r="E61" i="1"/>
  <c r="B49" i="1"/>
  <c r="C26" i="1"/>
  <c r="E40" i="1"/>
  <c r="B109" i="1"/>
  <c r="D55" i="1"/>
  <c r="D92" i="1"/>
  <c r="G72" i="1"/>
  <c r="H110" i="1"/>
  <c r="F107" i="1"/>
  <c r="P52" i="1"/>
  <c r="Q44" i="1"/>
  <c r="G48" i="1"/>
  <c r="C74" i="1"/>
  <c r="B31" i="1"/>
  <c r="E113" i="1"/>
  <c r="O17" i="1"/>
  <c r="L57" i="1"/>
  <c r="C18" i="1"/>
  <c r="B85" i="1"/>
  <c r="L95" i="1"/>
  <c r="B68" i="1"/>
  <c r="J108" i="1"/>
  <c r="O113" i="1"/>
  <c r="L90" i="1"/>
  <c r="E23" i="1"/>
  <c r="N35" i="1"/>
  <c r="B57" i="1"/>
  <c r="N67" i="1"/>
  <c r="K101" i="1"/>
  <c r="M9" i="1"/>
  <c r="L98" i="1"/>
  <c r="G104" i="1"/>
  <c r="Q121" i="1"/>
  <c r="B25" i="1"/>
  <c r="M87" i="1"/>
  <c r="J92" i="1"/>
  <c r="M108" i="1"/>
  <c r="N75" i="1"/>
  <c r="J26" i="1"/>
  <c r="H72" i="1"/>
  <c r="D12" i="1"/>
  <c r="P46" i="1"/>
  <c r="P106" i="1"/>
  <c r="N87" i="1"/>
  <c r="C103" i="1"/>
  <c r="F7" i="1"/>
  <c r="K49" i="1"/>
  <c r="F52" i="1"/>
  <c r="N65" i="1"/>
  <c r="K51" i="1"/>
  <c r="P76" i="1"/>
  <c r="D78" i="1"/>
  <c r="O121" i="1"/>
  <c r="I99" i="1"/>
  <c r="Q53" i="1"/>
  <c r="N34" i="1"/>
  <c r="B83" i="1"/>
  <c r="G84" i="1"/>
  <c r="P68" i="1"/>
  <c r="O106" i="1"/>
  <c r="E108" i="1"/>
  <c r="N32" i="1"/>
  <c r="I9" i="1"/>
  <c r="B17" i="1"/>
  <c r="K114" i="1"/>
  <c r="M62" i="1"/>
  <c r="D51" i="1"/>
  <c r="I48" i="1"/>
  <c r="K67" i="1"/>
  <c r="G78" i="1"/>
  <c r="E97" i="1"/>
  <c r="I97" i="1"/>
  <c r="O34" i="1"/>
  <c r="H29" i="1"/>
  <c r="Q105" i="1"/>
  <c r="D96" i="1"/>
  <c r="L29" i="1"/>
  <c r="F70" i="1"/>
  <c r="N41" i="1"/>
  <c r="E59" i="1"/>
  <c r="J22" i="1"/>
  <c r="F113" i="1"/>
  <c r="J45" i="1"/>
  <c r="G121" i="1"/>
  <c r="H66" i="1"/>
  <c r="B38" i="1"/>
  <c r="F96" i="1"/>
  <c r="J106" i="1"/>
  <c r="D121" i="1"/>
  <c r="O83" i="1"/>
  <c r="N105" i="1"/>
  <c r="K33" i="1"/>
  <c r="F20" i="1"/>
  <c r="G79" i="1"/>
  <c r="N58" i="1"/>
  <c r="G113" i="1"/>
  <c r="M71" i="1"/>
  <c r="L42" i="1"/>
  <c r="G15" i="1"/>
  <c r="O6" i="1"/>
  <c r="J76" i="1"/>
  <c r="I60" i="1"/>
  <c r="M25" i="1"/>
  <c r="E57" i="1"/>
  <c r="M45" i="1"/>
  <c r="Q70" i="1"/>
  <c r="C94" i="1"/>
  <c r="C110" i="1"/>
  <c r="C68" i="1"/>
  <c r="H98" i="1"/>
  <c r="D91" i="1"/>
  <c r="P114" i="1"/>
  <c r="J74" i="1"/>
  <c r="E41" i="1"/>
  <c r="P41" i="1"/>
  <c r="J18" i="1"/>
  <c r="H117" i="1"/>
  <c r="F60" i="1"/>
  <c r="C58" i="1"/>
  <c r="C95" i="1"/>
  <c r="C69" i="1"/>
  <c r="F87" i="1"/>
  <c r="Q106" i="1"/>
  <c r="L30" i="1"/>
  <c r="L65" i="1"/>
  <c r="H24" i="1"/>
  <c r="E5" i="1"/>
  <c r="C97" i="1"/>
  <c r="M80" i="1"/>
  <c r="I31" i="1"/>
  <c r="G31" i="1"/>
  <c r="B11" i="1"/>
  <c r="J71" i="1"/>
  <c r="B46" i="1"/>
  <c r="N83" i="1"/>
  <c r="B94" i="1"/>
  <c r="M27" i="1"/>
  <c r="E32" i="1"/>
  <c r="D73" i="1"/>
  <c r="G46" i="1"/>
  <c r="P56" i="1"/>
  <c r="F63" i="1"/>
  <c r="C13" i="1"/>
  <c r="J120" i="1"/>
  <c r="G23" i="1"/>
  <c r="F30" i="1"/>
  <c r="C109" i="1"/>
  <c r="N121" i="1"/>
  <c r="L14" i="1"/>
  <c r="N38" i="1"/>
  <c r="J20" i="1"/>
  <c r="H14" i="1"/>
  <c r="C111" i="1"/>
  <c r="B114" i="1"/>
  <c r="G93" i="1"/>
  <c r="K90" i="1"/>
  <c r="E46" i="1"/>
  <c r="E19" i="1"/>
  <c r="N77" i="1"/>
  <c r="N81" i="1"/>
  <c r="L16" i="1"/>
  <c r="P40" i="1"/>
  <c r="I105" i="1"/>
  <c r="N49" i="1"/>
  <c r="D105" i="1"/>
  <c r="K94" i="1"/>
  <c r="P13" i="1"/>
  <c r="Q97" i="1"/>
  <c r="O91" i="1"/>
  <c r="G38" i="1"/>
  <c r="C99" i="1"/>
  <c r="D37" i="1"/>
  <c r="H71" i="1"/>
  <c r="I81" i="1"/>
  <c r="I118" i="1"/>
  <c r="L52" i="1"/>
  <c r="Q31" i="1"/>
  <c r="N55" i="1"/>
  <c r="P14" i="1"/>
  <c r="I28" i="1"/>
  <c r="O43" i="1"/>
  <c r="B112" i="1"/>
  <c r="M17" i="1"/>
  <c r="E48" i="1"/>
  <c r="M37" i="1"/>
  <c r="L5" i="1"/>
  <c r="P47" i="1"/>
  <c r="K75" i="1"/>
  <c r="B19" i="1"/>
  <c r="C117" i="1"/>
  <c r="M12" i="1"/>
  <c r="F50" i="1"/>
  <c r="G101" i="1"/>
  <c r="P37" i="1"/>
  <c r="Q24" i="1"/>
  <c r="N118" i="1"/>
  <c r="B50" i="1"/>
  <c r="K74" i="1"/>
  <c r="E94" i="1"/>
  <c r="E45" i="1"/>
  <c r="F65" i="1"/>
  <c r="H90" i="1"/>
  <c r="N104" i="1"/>
  <c r="Q8" i="1"/>
  <c r="H10" i="1"/>
  <c r="I102" i="1"/>
  <c r="P34" i="1"/>
  <c r="E55" i="1"/>
  <c r="Q66" i="1"/>
  <c r="N10" i="1"/>
  <c r="Q90" i="1"/>
  <c r="N44" i="1"/>
  <c r="G107" i="1"/>
  <c r="D25" i="1"/>
  <c r="H108" i="1"/>
  <c r="P119" i="1"/>
  <c r="P32" i="1"/>
  <c r="N13" i="1"/>
  <c r="K72" i="1"/>
  <c r="N22" i="1"/>
  <c r="O55" i="1"/>
  <c r="C88" i="1"/>
  <c r="Q39" i="1"/>
  <c r="D103" i="1"/>
  <c r="M19" i="1"/>
  <c r="O101" i="1"/>
  <c r="D65" i="1"/>
  <c r="G62" i="1"/>
  <c r="P31" i="1"/>
  <c r="G119" i="1"/>
  <c r="E62" i="1"/>
  <c r="B120" i="1"/>
  <c r="I84" i="1"/>
  <c r="D86" i="1"/>
  <c r="G110" i="1"/>
  <c r="H19" i="1"/>
  <c r="G21" i="1"/>
  <c r="J69" i="1"/>
  <c r="F57" i="1"/>
  <c r="K30" i="1"/>
  <c r="E116" i="1"/>
  <c r="C15" i="1"/>
  <c r="L112" i="1"/>
  <c r="E105" i="1"/>
  <c r="P18" i="1"/>
  <c r="H64" i="1"/>
  <c r="N116" i="1"/>
  <c r="P6" i="1"/>
  <c r="I22" i="1"/>
  <c r="H99" i="1"/>
  <c r="G12" i="1"/>
  <c r="D110" i="1"/>
  <c r="L10" i="1"/>
  <c r="B33" i="1"/>
  <c r="K37" i="1"/>
  <c r="K31" i="1"/>
  <c r="Q82" i="1"/>
  <c r="N46" i="1"/>
  <c r="C39" i="1"/>
  <c r="F40" i="1"/>
  <c r="D84" i="1"/>
  <c r="E53" i="1"/>
  <c r="L101" i="1"/>
  <c r="I106" i="1"/>
  <c r="D29" i="1"/>
  <c r="D109" i="1"/>
  <c r="L81" i="1"/>
  <c r="G116" i="1"/>
  <c r="N43" i="1"/>
  <c r="D18" i="1"/>
  <c r="C93" i="1"/>
  <c r="I29" i="1"/>
  <c r="E58" i="1"/>
  <c r="E50" i="1"/>
  <c r="E60" i="1"/>
  <c r="B113" i="1"/>
  <c r="J73" i="1"/>
  <c r="M102" i="1"/>
  <c r="C49" i="1"/>
  <c r="C12" i="1"/>
  <c r="N15" i="1"/>
  <c r="J119" i="1"/>
  <c r="F39" i="1"/>
  <c r="J88" i="1"/>
  <c r="K102" i="1"/>
  <c r="K65" i="1"/>
  <c r="B36" i="1"/>
  <c r="K54" i="1"/>
  <c r="L12" i="1"/>
  <c r="M74" i="1"/>
  <c r="N50" i="1"/>
  <c r="C79" i="1"/>
  <c r="I83" i="1"/>
  <c r="D81" i="1"/>
  <c r="P59" i="1"/>
  <c r="M67" i="1"/>
  <c r="E28" i="1"/>
  <c r="B77" i="1"/>
  <c r="O65" i="1"/>
  <c r="M119" i="1"/>
  <c r="D100" i="1"/>
  <c r="O33" i="1"/>
  <c r="L20" i="1"/>
  <c r="K108" i="1"/>
  <c r="F36" i="1"/>
  <c r="E43" i="1"/>
  <c r="H59" i="1"/>
  <c r="H95" i="1"/>
  <c r="C121" i="1"/>
  <c r="Q28" i="1"/>
  <c r="N30" i="1"/>
  <c r="J34" i="1"/>
  <c r="O10" i="1"/>
  <c r="N111" i="1"/>
  <c r="I68" i="1"/>
  <c r="B63" i="1"/>
  <c r="H55" i="1"/>
  <c r="B41" i="1"/>
  <c r="H106" i="1"/>
  <c r="P45" i="1"/>
  <c r="E91" i="1"/>
  <c r="F101" i="1"/>
  <c r="O5" i="1"/>
  <c r="E76" i="1"/>
  <c r="G109" i="1"/>
  <c r="B97" i="1"/>
  <c r="D108" i="1"/>
  <c r="M34" i="1"/>
  <c r="J103" i="1"/>
  <c r="I73" i="1"/>
  <c r="K88" i="1"/>
  <c r="D57" i="1"/>
  <c r="B67" i="1"/>
  <c r="K99" i="1"/>
  <c r="D93" i="1"/>
  <c r="G71" i="1"/>
  <c r="J72" i="1"/>
  <c r="K61" i="1"/>
  <c r="G24" i="1"/>
  <c r="Q111" i="1"/>
  <c r="F106" i="1"/>
  <c r="L77" i="1"/>
  <c r="P43" i="1"/>
  <c r="K80" i="1"/>
  <c r="K104" i="1"/>
  <c r="C10" i="1"/>
  <c r="F76" i="1"/>
  <c r="I89" i="1"/>
  <c r="G41" i="1"/>
  <c r="B89" i="1"/>
  <c r="N60" i="1"/>
  <c r="G35" i="1"/>
  <c r="B96" i="1"/>
  <c r="E35" i="1"/>
  <c r="F31" i="1"/>
  <c r="L107" i="1"/>
  <c r="P48" i="1"/>
  <c r="I69" i="1"/>
  <c r="N14" i="1"/>
  <c r="C29" i="1"/>
  <c r="H94" i="1"/>
  <c r="J105" i="1"/>
  <c r="O21" i="1"/>
  <c r="P16" i="1"/>
  <c r="H39" i="1"/>
  <c r="J19" i="1"/>
  <c r="P86" i="1"/>
  <c r="I78" i="1"/>
  <c r="Q19" i="1"/>
  <c r="M82" i="1"/>
  <c r="P69" i="1"/>
  <c r="L116" i="1"/>
  <c r="C64" i="1"/>
  <c r="J11" i="1"/>
  <c r="H22" i="1"/>
  <c r="L120" i="1"/>
  <c r="D75" i="1"/>
  <c r="Q18" i="1"/>
  <c r="L113" i="1"/>
  <c r="D120" i="1"/>
  <c r="N52" i="1"/>
  <c r="J24" i="1"/>
  <c r="I39" i="1"/>
  <c r="M13" i="1"/>
  <c r="O12" i="1"/>
  <c r="I37" i="1"/>
  <c r="C120" i="1"/>
  <c r="N8" i="1"/>
  <c r="H75" i="1"/>
  <c r="K7" i="1"/>
  <c r="D114" i="1"/>
  <c r="H43" i="1"/>
  <c r="L6" i="1"/>
  <c r="K109" i="1"/>
  <c r="O51" i="1"/>
  <c r="G33" i="1"/>
  <c r="C14" i="1"/>
  <c r="E27" i="1"/>
  <c r="L69" i="1"/>
  <c r="Q77" i="1"/>
  <c r="E121" i="1"/>
  <c r="E20" i="1"/>
  <c r="Q16" i="1"/>
  <c r="L67" i="1"/>
  <c r="H48" i="1"/>
  <c r="G102" i="1"/>
  <c r="L118" i="1"/>
  <c r="J48" i="1"/>
  <c r="D11" i="1"/>
  <c r="O71" i="1"/>
  <c r="I74" i="1"/>
  <c r="D77" i="1"/>
  <c r="M33" i="1"/>
  <c r="H80" i="1"/>
  <c r="M90" i="1"/>
  <c r="C8" i="1"/>
  <c r="E71" i="1"/>
  <c r="I62" i="1"/>
  <c r="H35" i="1"/>
  <c r="F45" i="1"/>
  <c r="D74" i="1"/>
  <c r="M7" i="1"/>
  <c r="I26" i="1"/>
  <c r="G40" i="1"/>
  <c r="D104" i="1"/>
  <c r="F97" i="1"/>
  <c r="D115" i="1"/>
  <c r="J82" i="1"/>
  <c r="C51" i="1"/>
  <c r="H13" i="1"/>
  <c r="P12" i="1"/>
  <c r="I100" i="1"/>
  <c r="Q104" i="1"/>
  <c r="B56" i="1"/>
  <c r="I16" i="1"/>
  <c r="F119" i="1"/>
  <c r="B45" i="1"/>
  <c r="B48" i="1"/>
  <c r="L32" i="1"/>
  <c r="G75" i="1"/>
  <c r="P22" i="1"/>
  <c r="H58" i="1"/>
  <c r="G115" i="1"/>
  <c r="F25" i="1"/>
  <c r="J110" i="1"/>
  <c r="D6" i="1"/>
  <c r="H26" i="1"/>
  <c r="D70" i="1"/>
  <c r="I14" i="1"/>
  <c r="L100" i="1"/>
  <c r="G45" i="1"/>
  <c r="I5" i="1"/>
  <c r="O78" i="1"/>
  <c r="O60" i="1"/>
  <c r="P105" i="1"/>
  <c r="P38" i="1"/>
  <c r="E83" i="1"/>
  <c r="O15" i="1"/>
  <c r="F111" i="1"/>
  <c r="Q48" i="1"/>
  <c r="F12" i="1"/>
  <c r="Q108" i="1"/>
  <c r="D56" i="1"/>
  <c r="M96" i="1"/>
  <c r="I17" i="1"/>
  <c r="N62" i="1"/>
  <c r="E100" i="1"/>
  <c r="Q15" i="1"/>
  <c r="K6" i="1"/>
  <c r="H87" i="1"/>
  <c r="Q56" i="1"/>
  <c r="D31" i="1"/>
  <c r="F24" i="1"/>
  <c r="H101" i="1"/>
  <c r="F104" i="1"/>
  <c r="D19" i="1"/>
  <c r="N53" i="1"/>
  <c r="K14" i="1"/>
  <c r="B47" i="1"/>
  <c r="K79" i="1"/>
  <c r="E88" i="1"/>
  <c r="N59" i="1"/>
  <c r="Q109" i="1"/>
  <c r="E16" i="1"/>
  <c r="I94" i="1"/>
  <c r="G52" i="1"/>
  <c r="C47" i="1"/>
  <c r="F69" i="1"/>
  <c r="B34" i="1"/>
  <c r="D71" i="1"/>
  <c r="P70" i="1"/>
  <c r="L56" i="1"/>
  <c r="N76" i="1"/>
  <c r="D64" i="1"/>
  <c r="F120" i="1"/>
  <c r="E39" i="1"/>
  <c r="H8" i="1"/>
  <c r="Q89" i="1"/>
  <c r="M104" i="1"/>
  <c r="M15" i="1"/>
  <c r="G120" i="1"/>
  <c r="B118" i="1"/>
  <c r="L25" i="1"/>
  <c r="B65" i="1"/>
  <c r="B98" i="1"/>
  <c r="L119" i="1"/>
  <c r="N47" i="1"/>
  <c r="K100" i="1"/>
  <c r="L23" i="1"/>
  <c r="E106" i="1"/>
  <c r="F59" i="1"/>
  <c r="D112" i="1"/>
  <c r="H16" i="1"/>
  <c r="Q9" i="1"/>
  <c r="P118" i="1"/>
  <c r="E24" i="1"/>
  <c r="I95" i="1"/>
  <c r="F77" i="1"/>
  <c r="G36" i="1"/>
  <c r="O104" i="1"/>
  <c r="F26" i="1"/>
  <c r="L84" i="1"/>
  <c r="G42" i="1"/>
  <c r="K45" i="1"/>
  <c r="M41" i="1"/>
  <c r="I103" i="1"/>
  <c r="E36" i="1"/>
  <c r="M38" i="1"/>
  <c r="F83" i="1"/>
  <c r="O19" i="1"/>
  <c r="O54" i="1"/>
  <c r="C105" i="1"/>
  <c r="K117" i="1"/>
  <c r="B117" i="1"/>
  <c r="F49" i="1"/>
  <c r="D113" i="1"/>
  <c r="G30" i="1"/>
  <c r="Q112" i="1"/>
  <c r="I85" i="1"/>
  <c r="C44" i="1"/>
  <c r="C24" i="1"/>
  <c r="Q119" i="1"/>
  <c r="E44" i="1"/>
  <c r="H37" i="1"/>
  <c r="C9" i="1"/>
  <c r="P5" i="1"/>
  <c r="P54" i="1"/>
  <c r="C108" i="1"/>
  <c r="J99" i="1"/>
  <c r="I91" i="1"/>
  <c r="H92" i="1"/>
  <c r="G66" i="1"/>
  <c r="C116" i="1"/>
  <c r="E29" i="1"/>
  <c r="L11" i="1"/>
  <c r="P61" i="1"/>
  <c r="M52" i="1"/>
  <c r="H85" i="1"/>
  <c r="K69" i="1"/>
  <c r="O103" i="1"/>
  <c r="Q99" i="1"/>
  <c r="J117" i="1"/>
  <c r="C25" i="1"/>
  <c r="G77" i="1"/>
  <c r="F75" i="1"/>
  <c r="N31" i="1"/>
  <c r="O85" i="1"/>
  <c r="J100" i="1"/>
  <c r="B20" i="1"/>
  <c r="J93" i="1"/>
  <c r="E107" i="1"/>
  <c r="B61" i="1"/>
  <c r="K60" i="1"/>
  <c r="F21" i="1"/>
  <c r="G91" i="1"/>
  <c r="D17" i="1"/>
  <c r="M103" i="1"/>
  <c r="G53" i="1"/>
  <c r="P64" i="1"/>
  <c r="D99" i="1"/>
  <c r="L26" i="1"/>
  <c r="I24" i="1"/>
  <c r="B104" i="1"/>
  <c r="Q51" i="1"/>
  <c r="E75" i="1"/>
  <c r="M11" i="1"/>
  <c r="H93" i="1"/>
  <c r="J75" i="1"/>
  <c r="D118" i="1"/>
  <c r="C115" i="1"/>
  <c r="G118" i="1"/>
  <c r="P93" i="1"/>
  <c r="D22" i="1"/>
  <c r="M107" i="1"/>
  <c r="B14" i="1"/>
  <c r="J97" i="1"/>
  <c r="I23" i="1"/>
  <c r="G73" i="1"/>
  <c r="L46" i="1"/>
  <c r="I6" i="1"/>
  <c r="F22" i="1"/>
  <c r="C6" i="1"/>
  <c r="N71" i="1"/>
  <c r="C72" i="1"/>
  <c r="H47" i="1"/>
  <c r="F53" i="1"/>
  <c r="B69" i="1"/>
  <c r="N109" i="1"/>
  <c r="D107" i="1"/>
  <c r="B102" i="1"/>
  <c r="D54" i="1"/>
  <c r="I113" i="1"/>
  <c r="P98" i="1"/>
  <c r="Q120" i="1"/>
  <c r="J21" i="1"/>
  <c r="J80" i="1"/>
  <c r="P88" i="1"/>
  <c r="P112" i="1"/>
  <c r="O56" i="1"/>
  <c r="P29" i="1"/>
  <c r="L74" i="1"/>
  <c r="E22" i="1"/>
  <c r="F18" i="1"/>
  <c r="C101" i="1"/>
  <c r="J87" i="1"/>
  <c r="O109" i="1"/>
  <c r="O76" i="1"/>
  <c r="O102" i="1"/>
  <c r="K34" i="1"/>
  <c r="N51" i="1"/>
  <c r="Q72" i="1"/>
  <c r="F115" i="1"/>
  <c r="J63" i="1"/>
  <c r="M79" i="1"/>
  <c r="N112" i="1"/>
  <c r="I90" i="1"/>
  <c r="F6" i="1"/>
  <c r="I96" i="1"/>
  <c r="P57" i="1"/>
  <c r="H50" i="1"/>
  <c r="I8" i="1"/>
  <c r="N54" i="1"/>
  <c r="F88" i="1"/>
  <c r="I10" i="1"/>
  <c r="J46" i="1"/>
  <c r="L103" i="1"/>
  <c r="M99" i="1"/>
  <c r="P94" i="1"/>
  <c r="I46" i="1"/>
  <c r="N61" i="1"/>
  <c r="N92" i="1"/>
  <c r="Q65" i="1"/>
  <c r="N57" i="1"/>
  <c r="B75" i="1"/>
  <c r="N99" i="1"/>
  <c r="I50" i="1"/>
  <c r="H52" i="1"/>
  <c r="B42" i="1"/>
  <c r="F112" i="1"/>
  <c r="K50" i="1"/>
  <c r="L63" i="1"/>
  <c r="E72" i="1"/>
  <c r="K21" i="1"/>
  <c r="I111" i="1"/>
  <c r="G5" i="1"/>
  <c r="O86" i="1"/>
  <c r="L19" i="1"/>
  <c r="I43" i="1"/>
  <c r="B32" i="1"/>
  <c r="P87" i="1"/>
  <c r="M101" i="1"/>
  <c r="I63" i="1"/>
  <c r="M114" i="1"/>
  <c r="K86" i="1"/>
  <c r="B28" i="1"/>
  <c r="D72" i="1"/>
  <c r="L93" i="1"/>
  <c r="Q62" i="1"/>
  <c r="B91" i="1"/>
  <c r="M88" i="1"/>
  <c r="C11" i="1"/>
  <c r="C46" i="1"/>
  <c r="F48" i="1"/>
  <c r="O118" i="1"/>
  <c r="N103" i="1"/>
  <c r="N72" i="1"/>
  <c r="K116" i="1"/>
  <c r="E37" i="1"/>
  <c r="D79" i="1"/>
  <c r="E104" i="1"/>
  <c r="L73" i="1"/>
  <c r="P53" i="1"/>
  <c r="K89" i="1"/>
  <c r="F51" i="1"/>
  <c r="H17" i="1"/>
  <c r="K58" i="1"/>
  <c r="G82" i="1"/>
  <c r="L106" i="1"/>
  <c r="O73" i="1"/>
  <c r="L71" i="1"/>
  <c r="H34" i="1"/>
  <c r="H109" i="1"/>
  <c r="B13" i="1"/>
  <c r="D89" i="1"/>
  <c r="F114" i="1"/>
  <c r="I72" i="1"/>
  <c r="F8" i="1"/>
  <c r="C53" i="1"/>
  <c r="M105" i="1"/>
  <c r="B71" i="1"/>
  <c r="L61" i="1"/>
  <c r="J79" i="1"/>
  <c r="D49" i="1"/>
  <c r="K73" i="1"/>
  <c r="M29" i="1"/>
  <c r="Q35" i="1"/>
  <c r="D23" i="1"/>
  <c r="C75" i="1"/>
  <c r="H82" i="1"/>
  <c r="E96" i="1"/>
  <c r="O84" i="1"/>
  <c r="L110" i="1"/>
  <c r="G26" i="1"/>
  <c r="H15" i="1"/>
  <c r="H118" i="1"/>
  <c r="C48" i="1"/>
  <c r="F85" i="1"/>
  <c r="J14" i="1"/>
  <c r="D62" i="1"/>
  <c r="Q101" i="1"/>
  <c r="P39" i="1"/>
  <c r="E109" i="1"/>
  <c r="D95" i="1"/>
  <c r="F82" i="1"/>
  <c r="M24" i="1"/>
  <c r="I109" i="1"/>
  <c r="H11" i="1"/>
  <c r="D117" i="1"/>
  <c r="F67" i="1"/>
  <c r="P99" i="1"/>
  <c r="M100" i="1"/>
  <c r="I27" i="1"/>
  <c r="C37" i="1"/>
  <c r="J116" i="1"/>
  <c r="P17" i="1"/>
  <c r="D5" i="1"/>
  <c r="K10" i="1"/>
  <c r="K32" i="1"/>
  <c r="P50" i="1"/>
  <c r="M14" i="1"/>
  <c r="O74" i="1"/>
  <c r="L37" i="1"/>
  <c r="G94" i="1"/>
  <c r="M111" i="1"/>
  <c r="J27" i="1"/>
  <c r="O108" i="1"/>
  <c r="F62" i="1"/>
  <c r="B30" i="1"/>
  <c r="N5" i="1"/>
  <c r="B24" i="1"/>
  <c r="E98" i="1"/>
  <c r="I45" i="1"/>
  <c r="L92" i="1"/>
  <c r="C59" i="1"/>
  <c r="D40" i="1"/>
  <c r="B111" i="1"/>
  <c r="O66" i="1"/>
  <c r="K119" i="1"/>
  <c r="B52" i="1"/>
  <c r="D33" i="1"/>
  <c r="J109" i="1"/>
  <c r="K52" i="1"/>
  <c r="M69" i="1"/>
  <c r="P21" i="1"/>
  <c r="H63" i="1"/>
  <c r="G85" i="1"/>
  <c r="G81" i="1"/>
  <c r="G13" i="1"/>
  <c r="O31" i="1"/>
  <c r="E9" i="1"/>
  <c r="P91" i="1"/>
  <c r="O116" i="1"/>
  <c r="C17" i="1"/>
  <c r="C31" i="1"/>
  <c r="L109" i="1"/>
  <c r="F110" i="1"/>
  <c r="J7" i="1"/>
  <c r="D102" i="1"/>
  <c r="K40" i="1"/>
  <c r="Q92" i="1"/>
  <c r="L79" i="1"/>
  <c r="C70" i="1"/>
  <c r="N101" i="1"/>
  <c r="N66" i="1"/>
  <c r="Q57" i="1"/>
  <c r="J96" i="1"/>
  <c r="Q21" i="1"/>
  <c r="J107" i="1"/>
  <c r="I104" i="1"/>
  <c r="C45" i="1"/>
  <c r="K81" i="1"/>
  <c r="B107" i="1"/>
  <c r="P27" i="1"/>
  <c r="N115" i="1"/>
  <c r="H42" i="1"/>
  <c r="M116" i="1"/>
  <c r="B72" i="1"/>
  <c r="B39" i="1"/>
  <c r="Q83" i="1"/>
  <c r="D52" i="1"/>
  <c r="J59" i="1"/>
  <c r="G55" i="1"/>
  <c r="C40" i="1"/>
  <c r="C16" i="1"/>
  <c r="G16" i="1"/>
  <c r="J41" i="1"/>
  <c r="N63" i="1"/>
  <c r="L58" i="1"/>
  <c r="Q12" i="1"/>
  <c r="Q42" i="1"/>
  <c r="E74" i="1"/>
  <c r="F15" i="1"/>
  <c r="M32" i="1"/>
  <c r="C90" i="1"/>
  <c r="D61" i="1"/>
  <c r="Q40" i="1"/>
  <c r="O79" i="1"/>
  <c r="K28" i="1"/>
  <c r="K26" i="1"/>
  <c r="G14" i="1"/>
  <c r="G9" i="10" l="1"/>
  <c r="D8" i="10"/>
  <c r="D3" i="10"/>
  <c r="C9" i="10"/>
  <c r="C5" i="10"/>
  <c r="G5" i="10"/>
  <c r="I7" i="10"/>
  <c r="H4" i="10"/>
  <c r="G3" i="10"/>
  <c r="C3" i="10"/>
  <c r="D9" i="10"/>
  <c r="I3" i="10"/>
  <c r="I6" i="10"/>
  <c r="B3" i="10"/>
  <c r="H3" i="10"/>
  <c r="H9" i="10"/>
  <c r="I5" i="10"/>
  <c r="B5" i="10"/>
  <c r="I2" i="10"/>
  <c r="D7" i="10"/>
  <c r="H6" i="10"/>
  <c r="C2" i="10"/>
  <c r="G2" i="10"/>
  <c r="B6" i="10"/>
  <c r="B2" i="10"/>
  <c r="I9" i="10"/>
  <c r="B7" i="10"/>
  <c r="I8" i="10"/>
  <c r="D4" i="10"/>
  <c r="B4" i="10"/>
  <c r="D6" i="10"/>
  <c r="H5" i="10"/>
  <c r="G8" i="10"/>
  <c r="C8" i="10"/>
  <c r="G4" i="10"/>
  <c r="C4" i="10"/>
  <c r="H2" i="10"/>
  <c r="G6" i="10"/>
  <c r="C6" i="10"/>
  <c r="I4" i="10"/>
  <c r="D2" i="10"/>
  <c r="G7" i="10"/>
  <c r="C7" i="10"/>
  <c r="D5" i="10"/>
  <c r="B8" i="10"/>
  <c r="H7" i="10"/>
  <c r="B9" i="10"/>
  <c r="H8" i="10"/>
</calcChain>
</file>

<file path=xl/sharedStrings.xml><?xml version="1.0" encoding="utf-8"?>
<sst xmlns="http://schemas.openxmlformats.org/spreadsheetml/2006/main" count="2167" uniqueCount="153">
  <si>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</si>
  <si>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</si>
  <si>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</si>
  <si>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</si>
  <si>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</si>
  <si>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</si>
  <si>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</si>
  <si>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</si>
  <si>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</si>
  <si>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</si>
  <si>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</si>
  <si>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</si>
  <si>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</si>
  <si>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</si>
  <si>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</si>
  <si>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</si>
  <si>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</si>
  <si>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</si>
  <si>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</si>
  <si>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</si>
  <si>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</si>
  <si>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</si>
  <si>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</si>
  <si>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</si>
  <si>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</si>
  <si>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</si>
  <si>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</si>
  <si>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</si>
  <si>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</si>
  <si>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</si>
  <si>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</si>
  <si>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</si>
  <si>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</si>
  <si>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</si>
  <si>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</si>
  <si>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</si>
  <si>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</si>
  <si>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</si>
  <si>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</si>
  <si>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</si>
  <si>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</si>
  <si>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</si>
  <si>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</si>
  <si>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</si>
  <si>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</si>
  <si>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</si>
  <si>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</si>
  <si>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</si>
  <si>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</si>
  <si>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</si>
  <si>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</si>
  <si>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</si>
  <si>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</si>
  <si>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</si>
  <si>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</si>
  <si>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</si>
  <si>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</si>
  <si>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</si>
  <si>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</si>
  <si>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</si>
  <si>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</si>
  <si>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</si>
  <si>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</si>
  <si>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</si>
  <si>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</si>
  <si>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</si>
  <si>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</si>
  <si>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</si>
  <si>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</si>
  <si>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</si>
  <si>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</si>
  <si>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</si>
  <si>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</si>
  <si>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</si>
  <si>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</si>
  <si>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</si>
  <si>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</si>
  <si>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</si>
  <si>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</si>
  <si>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</si>
  <si>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</si>
  <si>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</si>
  <si>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</si>
  <si>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</si>
  <si>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</si>
  <si>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</si>
  <si>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</si>
  <si>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</si>
  <si>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</si>
  <si>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</si>
  <si>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</si>
  <si>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</si>
  <si>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</si>
  <si>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</si>
  <si>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</si>
  <si>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</si>
  <si>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</si>
  <si>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</si>
  <si>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</si>
  <si>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</si>
  <si>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</si>
  <si>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</si>
  <si>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</si>
  <si>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</si>
  <si>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</si>
  <si>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</si>
  <si>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</si>
  <si>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</si>
  <si>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</si>
  <si>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</si>
  <si>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</si>
  <si>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</si>
  <si>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</si>
  <si>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</si>
  <si>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</si>
  <si>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</si>
  <si>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</si>
  <si>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</si>
  <si>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</si>
  <si>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</si>
  <si>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</si>
  <si>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</si>
  <si>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</si>
  <si>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</si>
  <si>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</si>
  <si>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</si>
  <si>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</si>
  <si>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</si>
  <si>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</si>
  <si>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</si>
  <si>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Name</t>
  </si>
  <si>
    <t>Usage Rate</t>
  </si>
  <si>
    <t>Jean-Ricner Bellegarde</t>
  </si>
  <si>
    <t>State</t>
  </si>
  <si>
    <t>Current</t>
  </si>
  <si>
    <t>Departed</t>
  </si>
  <si>
    <t>G+A</t>
  </si>
  <si>
    <t>Value</t>
  </si>
  <si>
    <t>Marshall Munetsi</t>
  </si>
  <si>
    <t>Progressive Actions</t>
  </si>
  <si>
    <t>PrgP</t>
  </si>
  <si>
    <t>PrgC</t>
  </si>
  <si>
    <t>PrgR</t>
  </si>
  <si>
    <t>João Gomes</t>
  </si>
  <si>
    <t>André</t>
  </si>
  <si>
    <t>Ladislav Krejčí</t>
  </si>
  <si>
    <t>Tommy Doyle</t>
  </si>
  <si>
    <t>Mario Lemina</t>
  </si>
  <si>
    <t>Matheus Nunes</t>
  </si>
  <si>
    <t>João Moutinho</t>
  </si>
  <si>
    <t>Rúben Neves</t>
  </si>
  <si>
    <t>Boubacar Traoré</t>
  </si>
  <si>
    <t>Leander Dendoncker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</si>
</sst>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I15"/>
  <sheetViews>
    <sheetView tabSelected="1" workbookViewId="0">
      <selection activeCell="F17" sqref="F17"/>
    </sheetView>
  </sheetViews>
  <sheetFormatPr baseColWidth="10" defaultRowHeight="16" x14ac:dyDescent="0.2"/>
  <cols>
    <col min="1" max="1" width="21.33203125" customWidth="1"/>
    <col min="2" max="2" width="23.1640625" customWidth="1"/>
    <col min="3" max="3" width="21" customWidth="1"/>
    <col min="7" max="7" width="10.83203125" customWidth="1"/>
  </cols>
  <sheetData>
    <row r="1" spans="1:9" x14ac:dyDescent="0.2">
      <c r="A1" t="s">
        <v>130</v>
      </c>
      <c r="B1" t="s">
        <v>131</v>
      </c>
      <c r="C1" t="s">
        <v>139</v>
      </c>
      <c r="D1" t="s">
        <v>136</v>
      </c>
      <c r="E1" t="s">
        <v>133</v>
      </c>
      <c r="F1" t="s">
        <v>137</v>
      </c>
      <c r="G1" t="s">
        <v>141</v>
      </c>
      <c r="H1" t="s">
        <v>140</v>
      </c>
      <c r="I1" t="s">
        <v>142</v>
      </c>
    </row>
    <row r="2" spans="1:9" x14ac:dyDescent="0.2">
      <c r="A2" t="str">
        <f>'Sheet 1'!B1</f>
        <v>Marshall Munetsi</v>
      </c>
      <c r="B2">
        <f ca="1">('Sheet 1'!B108)+('Sheet 1'!B109)+(('Sheet 1'!B31)-('Sheet 1'!B30))+(('Sheet 1'!B98)-('Sheet 1'!B99))+('Sheet 1'!B20)</f>
        <v>11.629999999999999</v>
      </c>
      <c r="C2">
        <f ca="1">('Sheet 1'!B17)+('Sheet 1'!B18)+('Sheet 1'!B19)</f>
        <v>4.84</v>
      </c>
      <c r="D2">
        <f ca="1">('Sheet 1'!B5)+('Sheet 1'!B6)</f>
        <v>0.26</v>
      </c>
      <c r="E2" t="s">
        <v>134</v>
      </c>
      <c r="F2">
        <v>15</v>
      </c>
      <c r="G2">
        <f ca="1">('Sheet 1'!B17)</f>
        <v>0.68</v>
      </c>
      <c r="H2">
        <f ca="1">('Sheet 1'!B18)</f>
        <v>1.2</v>
      </c>
      <c r="I2">
        <f ca="1">('Sheet 1'!B19)</f>
        <v>2.96</v>
      </c>
    </row>
    <row r="3" spans="1:9" x14ac:dyDescent="0.2">
      <c r="A3" t="str">
        <f>'Sheet 1'!D1</f>
        <v>João Gomes</v>
      </c>
      <c r="B3">
        <f ca="1">('Sheet 1'!D108)+('Sheet 1'!D109)+(('Sheet 1'!D31)-('Sheet 1'!D30))+(('Sheet 1'!D98)-('Sheet 1'!D99))+('Sheet 1'!D20)</f>
        <v>12.99</v>
      </c>
      <c r="C3">
        <f ca="1">('Sheet 1'!D17)+('Sheet 1'!D18)+('Sheet 1'!D19)</f>
        <v>9.4700000000000006</v>
      </c>
      <c r="D3">
        <f ca="1">('Sheet 1'!D5)+('Sheet 1'!D6)</f>
        <v>0.09</v>
      </c>
      <c r="E3" t="s">
        <v>134</v>
      </c>
      <c r="F3">
        <v>40</v>
      </c>
      <c r="G3">
        <f ca="1">('Sheet 1'!D17)</f>
        <v>1.57</v>
      </c>
      <c r="H3">
        <f ca="1">('Sheet 1'!D18)</f>
        <v>5.63</v>
      </c>
      <c r="I3">
        <f ca="1">('Sheet 1'!D19)</f>
        <v>2.27</v>
      </c>
    </row>
    <row r="4" spans="1:9" x14ac:dyDescent="0.2">
      <c r="A4" t="str">
        <f>'Sheet 1'!F1</f>
        <v>Jean-Ricner Bellegarde</v>
      </c>
      <c r="B4">
        <f ca="1">('Sheet 1'!F108)+('Sheet 1'!F109)+(('Sheet 1'!F31)-('Sheet 1'!F30))+(('Sheet 1'!F98)-('Sheet 1'!F99))+('Sheet 1'!F20)</f>
        <v>15.259999999999998</v>
      </c>
      <c r="C4">
        <f ca="1">('Sheet 1'!F17)+('Sheet 1'!F18)+('Sheet 1'!F19)</f>
        <v>10.6</v>
      </c>
      <c r="D4">
        <f ca="1">('Sheet 1'!F5)+('Sheet 1'!F6)</f>
        <v>0.36</v>
      </c>
      <c r="E4" t="s">
        <v>134</v>
      </c>
      <c r="F4">
        <v>18</v>
      </c>
      <c r="G4">
        <f ca="1">('Sheet 1'!F17)</f>
        <v>3.03</v>
      </c>
      <c r="H4">
        <f ca="1">('Sheet 1'!F18)</f>
        <v>3.34</v>
      </c>
      <c r="I4">
        <f ca="1">('Sheet 1'!F19)</f>
        <v>4.2300000000000004</v>
      </c>
    </row>
    <row r="5" spans="1:9" x14ac:dyDescent="0.2">
      <c r="A5" t="str">
        <f>'Sheet 1'!H1</f>
        <v>André</v>
      </c>
      <c r="B5">
        <f ca="1">('Sheet 1'!H108)+('Sheet 1'!H109)+(('Sheet 1'!H31)-('Sheet 1'!H30))+(('Sheet 1'!H98)-('Sheet 1'!H99))+('Sheet 1'!H20)</f>
        <v>6.6700000000000026</v>
      </c>
      <c r="C5">
        <f ca="1">('Sheet 1'!H17)+('Sheet 1'!H18)+('Sheet 1'!H19)</f>
        <v>5.0200000000000005</v>
      </c>
      <c r="D5">
        <f ca="1">('Sheet 1'!H5)+('Sheet 1'!H6)</f>
        <v>0</v>
      </c>
      <c r="E5" t="s">
        <v>134</v>
      </c>
      <c r="F5">
        <v>28</v>
      </c>
      <c r="G5">
        <f ca="1">('Sheet 1'!H17)</f>
        <v>0.54</v>
      </c>
      <c r="H5">
        <f ca="1">('Sheet 1'!H18)</f>
        <v>4.03</v>
      </c>
      <c r="I5">
        <f ca="1">('Sheet 1'!H19)</f>
        <v>0.45</v>
      </c>
    </row>
    <row r="6" spans="1:9" x14ac:dyDescent="0.2">
      <c r="A6" t="str">
        <f>'Sheet 1'!J1</f>
        <v>Ladislav Krejčí</v>
      </c>
      <c r="B6">
        <f ca="1">('Sheet 1'!J108)+('Sheet 1'!J109)+(('Sheet 1'!J31)-('Sheet 1'!J30))+(('Sheet 1'!J98)-('Sheet 1'!J99))+('Sheet 1'!J20)</f>
        <v>9.1399999999999935</v>
      </c>
      <c r="C6">
        <f ca="1">('Sheet 1'!J17)+('Sheet 1'!J18)+('Sheet 1'!J19)</f>
        <v>6.03</v>
      </c>
      <c r="D6">
        <f ca="1">('Sheet 1'!J5)+('Sheet 1'!J6)</f>
        <v>0.12</v>
      </c>
      <c r="E6" t="s">
        <v>134</v>
      </c>
      <c r="F6">
        <v>22</v>
      </c>
      <c r="G6">
        <f ca="1">('Sheet 1'!J17)</f>
        <v>0.69</v>
      </c>
      <c r="H6">
        <f ca="1">('Sheet 1'!J18)</f>
        <v>4.97</v>
      </c>
      <c r="I6">
        <f ca="1">('Sheet 1'!J19)</f>
        <v>0.37</v>
      </c>
    </row>
    <row r="7" spans="1:9" x14ac:dyDescent="0.2">
      <c r="A7" t="str">
        <f>'Sheet 1'!L1</f>
        <v>Tommy Doyle</v>
      </c>
      <c r="B7">
        <f ca="1">('Sheet 1'!L108)+('Sheet 1'!L109)+(('Sheet 1'!L31)-('Sheet 1'!L30))+(('Sheet 1'!L98)-('Sheet 1'!L99))+('Sheet 1'!L20)</f>
        <v>13.57</v>
      </c>
      <c r="C7">
        <f ca="1">('Sheet 1'!L17)+('Sheet 1'!L18)+('Sheet 1'!L19)</f>
        <v>8.77</v>
      </c>
      <c r="D7">
        <f ca="1">('Sheet 1'!L5)+('Sheet 1'!L6)</f>
        <v>0</v>
      </c>
      <c r="E7" t="s">
        <v>135</v>
      </c>
      <c r="F7">
        <v>10</v>
      </c>
      <c r="G7">
        <f ca="1">('Sheet 1'!L17)</f>
        <v>1.55</v>
      </c>
      <c r="H7">
        <f ca="1">('Sheet 1'!L18)</f>
        <v>5.97</v>
      </c>
      <c r="I7">
        <f ca="1">('Sheet 1'!L19)</f>
        <v>1.25</v>
      </c>
    </row>
    <row r="8" spans="1:9" x14ac:dyDescent="0.2">
      <c r="A8" t="str">
        <f>'Sheet 1'!N1</f>
        <v>Mario Lemina</v>
      </c>
      <c r="B8">
        <f ca="1">('Sheet 1'!N108)+('Sheet 1'!N109)+(('Sheet 1'!N31)-('Sheet 1'!N30))+(('Sheet 1'!N98)-('Sheet 1'!N99))+('Sheet 1'!N20)</f>
        <v>10.099999999999998</v>
      </c>
      <c r="C8">
        <f ca="1">('Sheet 1'!N17)+('Sheet 1'!N18)+('Sheet 1'!N19)</f>
        <v>4.76</v>
      </c>
      <c r="D8">
        <f ca="1">('Sheet 1'!N5)+('Sheet 1'!N6)</f>
        <v>0.15</v>
      </c>
      <c r="E8" t="s">
        <v>135</v>
      </c>
      <c r="F8">
        <v>10</v>
      </c>
      <c r="G8">
        <f ca="1">('Sheet 1'!N17)</f>
        <v>0.97</v>
      </c>
      <c r="H8">
        <f ca="1">('Sheet 1'!N18)</f>
        <v>2.2999999999999998</v>
      </c>
      <c r="I8">
        <f ca="1">('Sheet 1'!N19)</f>
        <v>1.49</v>
      </c>
    </row>
    <row r="9" spans="1:9" x14ac:dyDescent="0.2">
      <c r="A9" t="str">
        <f>'Sheet 1'!P1</f>
        <v>Matheus Nunes</v>
      </c>
      <c r="B9">
        <f ca="1">('Sheet 1'!P108)+('Sheet 1'!P109)+(('Sheet 1'!P31)-('Sheet 1'!P30))+(('Sheet 1'!P98)-('Sheet 1'!P99))+('Sheet 1'!P20)</f>
        <v>13.09</v>
      </c>
      <c r="C9">
        <f ca="1">('Sheet 1'!P17)+('Sheet 1'!P18)+('Sheet 1'!P19)</f>
        <v>9.92</v>
      </c>
      <c r="D9">
        <f ca="1">('Sheet 1'!P5)+('Sheet 1'!P6)</f>
        <v>0.08</v>
      </c>
      <c r="E9" t="s">
        <v>135</v>
      </c>
      <c r="F9">
        <v>45</v>
      </c>
      <c r="G9">
        <f ca="1">('Sheet 1'!P17)</f>
        <v>2.15</v>
      </c>
      <c r="H9">
        <f ca="1">('Sheet 1'!P18)</f>
        <v>3.06</v>
      </c>
      <c r="I9">
        <f ca="1">('Sheet 1'!P19)</f>
        <v>4.71</v>
      </c>
    </row>
    <row r="10" spans="1:9" x14ac:dyDescent="0.2">
      <c r="A10" t="str">
        <f>'Sheet 1'!R1</f>
        <v>João Moutinho</v>
      </c>
      <c r="B10">
        <f ca="1">('Sheet 1'!R108)+('Sheet 1'!R109)+(('Sheet 1'!R31)-('Sheet 1'!R30))+(('Sheet 1'!R98)-('Sheet 1'!R99))+('Sheet 1'!R20)</f>
        <v>12.690000000000001</v>
      </c>
      <c r="C10">
        <f ca="1">('Sheet 1'!R17)+('Sheet 1'!R18)+('Sheet 1'!R19)</f>
        <v>9.4499999999999993</v>
      </c>
      <c r="D10">
        <f ca="1">('Sheet 1'!R5)+('Sheet 1'!R6)</f>
        <v>0.1</v>
      </c>
      <c r="E10" t="s">
        <v>135</v>
      </c>
      <c r="F10">
        <v>10</v>
      </c>
      <c r="G10">
        <f ca="1">('Sheet 1'!R17)</f>
        <v>1.1599999999999999</v>
      </c>
      <c r="H10">
        <f ca="1">('Sheet 1'!R18)</f>
        <v>6.67</v>
      </c>
      <c r="I10">
        <f ca="1">('Sheet 1'!R19)</f>
        <v>1.62</v>
      </c>
    </row>
    <row r="11" spans="1:9" x14ac:dyDescent="0.2">
      <c r="A11" t="str">
        <f>'Sheet 1'!T1</f>
        <v>Rúben Neves</v>
      </c>
      <c r="B11">
        <f ca="1">('Sheet 1'!T108)+('Sheet 1'!T109)+(('Sheet 1'!T31)-('Sheet 1'!T30))+(('Sheet 1'!T98)-('Sheet 1'!T99))+('Sheet 1'!T20)</f>
        <v>14.490000000000002</v>
      </c>
      <c r="C11">
        <f ca="1">('Sheet 1'!T17)+('Sheet 1'!T18)+('Sheet 1'!T19)</f>
        <v>7.87</v>
      </c>
      <c r="D11">
        <f ca="1">('Sheet 1'!T5)+('Sheet 1'!T6)</f>
        <v>0.21</v>
      </c>
      <c r="E11" t="s">
        <v>135</v>
      </c>
      <c r="F11">
        <v>50</v>
      </c>
      <c r="G11">
        <f ca="1">('Sheet 1'!T17)</f>
        <v>0.83</v>
      </c>
      <c r="H11">
        <f ca="1">('Sheet 1'!T18)</f>
        <v>6.5</v>
      </c>
      <c r="I11">
        <f ca="1">('Sheet 1'!T19)</f>
        <v>0.54</v>
      </c>
    </row>
    <row r="12" spans="1:9" x14ac:dyDescent="0.2">
      <c r="A12" t="str">
        <f>'Sheet 1'!V1</f>
        <v>Boubacar Traoré</v>
      </c>
      <c r="B12">
        <f ca="1">('Sheet 1'!V108)+('Sheet 1'!V109)+(('Sheet 1'!V31)-('Sheet 1'!V30))+(('Sheet 1'!V98)-('Sheet 1'!V99))+('Sheet 1'!V20)</f>
        <v>12.969999999999999</v>
      </c>
      <c r="C12">
        <f ca="1">('Sheet 1'!V17)+('Sheet 1'!V18)+('Sheet 1'!V19)</f>
        <v>5.83</v>
      </c>
      <c r="D12">
        <f ca="1">('Sheet 1'!V5)+('Sheet 1'!V6)</f>
        <v>0</v>
      </c>
      <c r="E12" t="s">
        <v>135</v>
      </c>
      <c r="F12">
        <v>5</v>
      </c>
      <c r="G12">
        <f ca="1">('Sheet 1'!V17)</f>
        <v>0.99</v>
      </c>
      <c r="H12">
        <f ca="1">('Sheet 1'!V18)</f>
        <v>3.19</v>
      </c>
      <c r="I12">
        <f ca="1">('Sheet 1'!V19)</f>
        <v>1.65</v>
      </c>
    </row>
    <row r="13" spans="1:9" x14ac:dyDescent="0.2">
      <c r="A13" t="str">
        <f>'Sheet 1'!X1</f>
        <v>Leander Dendoncker</v>
      </c>
      <c r="B13">
        <f ca="1">('Sheet 1'!X108)+('Sheet 1'!X109)+(('Sheet 1'!X31)-('Sheet 1'!X30))+(('Sheet 1'!X98)-('Sheet 1'!X99))+('Sheet 1'!X20)</f>
        <v>8.08</v>
      </c>
      <c r="C13">
        <f ca="1">('Sheet 1'!X17)+('Sheet 1'!X18)+('Sheet 1'!X19)</f>
        <v>5.45</v>
      </c>
      <c r="D13">
        <f ca="1">('Sheet 1'!X5)+('Sheet 1'!X6)</f>
        <v>0.18</v>
      </c>
      <c r="E13" s="5" t="s">
        <v>135</v>
      </c>
      <c r="F13">
        <v>30</v>
      </c>
      <c r="G13">
        <f ca="1">('Sheet 1'!X17)</f>
        <v>0.42</v>
      </c>
      <c r="H13">
        <f ca="1">('Sheet 1'!X18)</f>
        <v>2.95</v>
      </c>
      <c r="I13">
        <f ca="1">('Sheet 1'!X19)</f>
        <v>2.08</v>
      </c>
    </row>
    <row r="14" spans="1:9" x14ac:dyDescent="0.2">
      <c r="E14" s="5"/>
    </row>
    <row r="15" spans="1:9" x14ac:dyDescent="0.2">
      <c r="E15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opLeftCell="K1" workbookViewId="0">
      <selection activeCell="AB8" sqref="AB8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</cols>
  <sheetData>
    <row r="1" spans="1:27" x14ac:dyDescent="0.2">
      <c r="A1" t="s">
        <v>129</v>
      </c>
      <c r="B1" t="s">
        <v>138</v>
      </c>
      <c r="D1" s="5" t="s">
        <v>143</v>
      </c>
      <c r="E1" s="5"/>
      <c r="F1" t="s">
        <v>132</v>
      </c>
      <c r="H1" t="s">
        <v>144</v>
      </c>
      <c r="J1" t="s">
        <v>145</v>
      </c>
      <c r="L1" t="s">
        <v>146</v>
      </c>
      <c r="N1" t="s">
        <v>147</v>
      </c>
      <c r="P1" t="s">
        <v>148</v>
      </c>
      <c r="R1" t="s">
        <v>149</v>
      </c>
      <c r="T1" t="s">
        <v>150</v>
      </c>
      <c r="V1" t="s">
        <v>151</v>
      </c>
      <c r="X1" t="s">
        <v>152</v>
      </c>
    </row>
    <row r="2" spans="1:27" x14ac:dyDescent="0.2">
      <c r="D2" s="5"/>
      <c r="E2" s="5"/>
    </row>
    <row r="3" spans="1:27" x14ac:dyDescent="0.2">
      <c r="D3" s="5"/>
      <c r="E3" s="5"/>
    </row>
    <row r="4" spans="1:27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  <c r="L4" s="5" t="s">
        <v>1</v>
      </c>
      <c r="M4" s="5" t="s">
        <v>2</v>
      </c>
      <c r="N4" s="5" t="s">
        <v>1</v>
      </c>
      <c r="O4" s="5" t="s">
        <v>2</v>
      </c>
      <c r="P4" s="5" t="s">
        <v>1</v>
      </c>
      <c r="Q4" s="5" t="s">
        <v>2</v>
      </c>
      <c r="R4" s="5" t="s">
        <v>1</v>
      </c>
      <c r="S4" s="5" t="s">
        <v>2</v>
      </c>
      <c r="T4" s="5" t="s">
        <v>1</v>
      </c>
      <c r="U4" s="5" t="s">
        <v>2</v>
      </c>
      <c r="V4" s="5" t="s">
        <v>1</v>
      </c>
      <c r="W4" s="5" t="s">
        <v>2</v>
      </c>
      <c r="X4" s="5" t="s">
        <v>1</v>
      </c>
      <c r="Y4" s="5" t="s">
        <v>2</v>
      </c>
      <c r="Z4" s="5"/>
      <c r="AA4" s="5"/>
    </row>
    <row r="5" spans="1:27" x14ac:dyDescent="0.2">
      <c r="A5" t="s">
        <v>3</v>
      </c>
      <c r="B5">
        <f ca="1">IFERROR(INDIRECT("'" &amp; SUBSTITUTE($B$1,"'","''") &amp; "'!B2"), "")</f>
        <v>0.13</v>
      </c>
      <c r="C5">
        <f ca="1">IFERROR(INDIRECT("'" &amp; SUBSTITUTE($B$1,"'","''") &amp; "'!C2"), "")</f>
        <v>74</v>
      </c>
      <c r="D5">
        <f ca="1">IFERROR(INDIRECT("'" &amp; SUBSTITUTE($D$1,"'","''") &amp; "'!B2"), "")</f>
        <v>0.06</v>
      </c>
      <c r="E5">
        <f ca="1">IFERROR(INDIRECT("'" &amp; SUBSTITUTE($D$1,"'","''") &amp; "'!C2"), "")</f>
        <v>45</v>
      </c>
      <c r="F5">
        <f ca="1">IFERROR(INDIRECT("'" &amp; SUBSTITUTE($F$1,"'","''") &amp; "'!B2"), "")</f>
        <v>0.05</v>
      </c>
      <c r="G5">
        <f ca="1">IFERROR(INDIRECT("'" &amp; SUBSTITUTE($F$1,"'","''") &amp; "'!C2"), "")</f>
        <v>38</v>
      </c>
      <c r="H5">
        <f ca="1">IFERROR(INDIRECT("'" &amp; SUBSTITUTE($H$1,"'","''") &amp; "'!B2"), "")</f>
        <v>0</v>
      </c>
      <c r="I5">
        <f ca="1">IFERROR(INDIRECT("'" &amp; SUBSTITUTE($H$1,"'","''") &amp; "'!C2"), "")</f>
        <v>11</v>
      </c>
      <c r="J5">
        <f ca="1">IFERROR(INDIRECT("'" &amp; SUBSTITUTE($J$1,"'","''") &amp; "'!B2"), "")</f>
        <v>0.09</v>
      </c>
      <c r="K5">
        <f ca="1">IFERROR(INDIRECT("'" &amp; SUBSTITUTE($J$1,"'","''") &amp; "'!C2"), "")</f>
        <v>80</v>
      </c>
      <c r="L5">
        <f ca="1">IFERROR(INDIRECT("'" &amp; SUBSTITUTE($L$1,"'","''") &amp; "'!B2"), "")</f>
        <v>0</v>
      </c>
      <c r="M5">
        <f ca="1">IFERROR(INDIRECT("'" &amp; SUBSTITUTE($L$1,"'","''") &amp; "'!C2"), "")</f>
        <v>14</v>
      </c>
      <c r="N5">
        <f ca="1">IFERROR(INDIRECT("'" &amp; SUBSTITUTE($N$1,"'","''") &amp; "'!B2"), "")</f>
        <v>0.12</v>
      </c>
      <c r="O5">
        <f ca="1">IFERROR(INDIRECT("'" &amp; SUBSTITUTE($N$1,"'","''") &amp; "'!C2"), "")</f>
        <v>64</v>
      </c>
      <c r="P5">
        <f ca="1">IFERROR(INDIRECT("'" &amp; SUBSTITUTE($P$1,"'","''") &amp; "'!B2"), "")</f>
        <v>0.04</v>
      </c>
      <c r="Q5">
        <f ca="1">IFERROR(INDIRECT("'" &amp; SUBSTITUTE($P$1,"'","''") &amp; "'!C2"), "")</f>
        <v>36</v>
      </c>
      <c r="R5">
        <f ca="1">IFERROR(INDIRECT("'" &amp; SUBSTITUTE($R$1,"'","''") &amp; "'!B2"), "")</f>
        <v>0</v>
      </c>
      <c r="S5">
        <f ca="1">IFERROR(INDIRECT("'" &amp; SUBSTITUTE($R$1,"'","''") &amp; "'!C2"), "")</f>
        <v>16</v>
      </c>
      <c r="T5">
        <f ca="1">IFERROR(INDIRECT("'" &amp; SUBSTITUTE($T$1,"'","''") &amp; "'!B2"), "")</f>
        <v>0.18</v>
      </c>
      <c r="U5">
        <f ca="1">IFERROR(INDIRECT("'" &amp; SUBSTITUTE($T$1,"'","''") &amp; "'!C2"), "")</f>
        <v>77</v>
      </c>
      <c r="V5">
        <f ca="1">IFERROR(INDIRECT("'" &amp; SUBSTITUTE($V$1,"'","''") &amp; "'!B2"), "")</f>
        <v>0</v>
      </c>
      <c r="W5">
        <f ca="1">IFERROR(INDIRECT("'" &amp; SUBSTITUTE($V$1,"'","''") &amp; "'!C2"), "")</f>
        <v>14</v>
      </c>
      <c r="X5">
        <f ca="1">IFERROR(INDIRECT("'" &amp; SUBSTITUTE($X$1,"'","''") &amp; "'!B2"), "")</f>
        <v>0.09</v>
      </c>
      <c r="Y5">
        <f ca="1">IFERROR(INDIRECT("'" &amp; SUBSTITUTE($X$1,"'","''") &amp; "'!C2"), "")</f>
        <v>62</v>
      </c>
    </row>
    <row r="6" spans="1:27" x14ac:dyDescent="0.2">
      <c r="A6" t="s">
        <v>4</v>
      </c>
      <c r="B6">
        <f ca="1">IFERROR(INDIRECT("'" &amp; SUBSTITUTE($B$1,"'","''") &amp; "'!B5"), "")</f>
        <v>0.13</v>
      </c>
      <c r="C6">
        <f ca="1">IFERROR(INDIRECT("'" &amp; SUBSTITUTE($B$1,"'","''") &amp; "'!C5"), "")</f>
        <v>71</v>
      </c>
      <c r="D6">
        <f ca="1">IFERROR(INDIRECT("'" &amp; SUBSTITUTE($D$1,"'","''") &amp; "'!B5"), "")</f>
        <v>0.03</v>
      </c>
      <c r="E6">
        <f ca="1">IFERROR(INDIRECT("'" &amp; SUBSTITUTE($D$1,"'","''") &amp; "'!C5"), "")</f>
        <v>21</v>
      </c>
      <c r="F6">
        <f ca="1">IFERROR(INDIRECT("'" &amp; SUBSTITUTE($F$1,"'","''") &amp; "'!B5"), "")</f>
        <v>0.31</v>
      </c>
      <c r="G6">
        <f ca="1">IFERROR(INDIRECT("'" &amp; SUBSTITUTE($F$1,"'","''") &amp; "'!C5"), "")</f>
        <v>98</v>
      </c>
      <c r="H6">
        <f ca="1">IFERROR(INDIRECT("'" &amp; SUBSTITUTE($H$1,"'","''") &amp; "'!B5"), "")</f>
        <v>0</v>
      </c>
      <c r="I6">
        <f ca="1">IFERROR(INDIRECT("'" &amp; SUBSTITUTE($H$1,"'","''") &amp; "'!C5"), "")</f>
        <v>9</v>
      </c>
      <c r="J6">
        <f ca="1">IFERROR(INDIRECT("'" &amp; SUBSTITUTE($J$1,"'","''") &amp; "'!B5"), "")</f>
        <v>0.03</v>
      </c>
      <c r="K6">
        <f ca="1">IFERROR(INDIRECT("'" &amp; SUBSTITUTE($J$1,"'","''") &amp; "'!C5"), "")</f>
        <v>58</v>
      </c>
      <c r="L6">
        <f ca="1">IFERROR(INDIRECT("'" &amp; SUBSTITUTE($L$1,"'","''") &amp; "'!B5"), "")</f>
        <v>0</v>
      </c>
      <c r="M6">
        <f ca="1">IFERROR(INDIRECT("'" &amp; SUBSTITUTE($L$1,"'","''") &amp; "'!C5"), "")</f>
        <v>13</v>
      </c>
      <c r="N6">
        <f ca="1">IFERROR(INDIRECT("'" &amp; SUBSTITUTE($N$1,"'","''") &amp; "'!B5"), "")</f>
        <v>0.03</v>
      </c>
      <c r="O6">
        <f ca="1">IFERROR(INDIRECT("'" &amp; SUBSTITUTE($N$1,"'","''") &amp; "'!C5"), "")</f>
        <v>27</v>
      </c>
      <c r="P6">
        <f ca="1">IFERROR(INDIRECT("'" &amp; SUBSTITUTE($P$1,"'","''") &amp; "'!B5"), "")</f>
        <v>0.04</v>
      </c>
      <c r="Q6">
        <f ca="1">IFERROR(INDIRECT("'" &amp; SUBSTITUTE($P$1,"'","''") &amp; "'!C5"), "")</f>
        <v>33</v>
      </c>
      <c r="R6">
        <f ca="1">IFERROR(INDIRECT("'" &amp; SUBSTITUTE($R$1,"'","''") &amp; "'!B5"), "")</f>
        <v>0.1</v>
      </c>
      <c r="S6">
        <f ca="1">IFERROR(INDIRECT("'" &amp; SUBSTITUTE($R$1,"'","''") &amp; "'!C5"), "")</f>
        <v>59</v>
      </c>
      <c r="T6">
        <f ca="1">IFERROR(INDIRECT("'" &amp; SUBSTITUTE($T$1,"'","''") &amp; "'!B5"), "")</f>
        <v>0.03</v>
      </c>
      <c r="U6">
        <f ca="1">IFERROR(INDIRECT("'" &amp; SUBSTITUTE($T$1,"'","''") &amp; "'!C5"), "")</f>
        <v>28</v>
      </c>
      <c r="V6">
        <f ca="1">IFERROR(INDIRECT("'" &amp; SUBSTITUTE($V$1,"'","''") &amp; "'!B5"), "")</f>
        <v>0</v>
      </c>
      <c r="W6">
        <f ca="1">IFERROR(INDIRECT("'" &amp; SUBSTITUTE($V$1,"'","''") &amp; "'!C5"), "")</f>
        <v>13</v>
      </c>
      <c r="X6">
        <f ca="1">IFERROR(INDIRECT("'" &amp; SUBSTITUTE($X$1,"'","''") &amp; "'!B5"), "")</f>
        <v>0.09</v>
      </c>
      <c r="Y6">
        <f ca="1">IFERROR(INDIRECT("'" &amp; SUBSTITUTE($X$1,"'","''") &amp; "'!C5"), "")</f>
        <v>58</v>
      </c>
    </row>
    <row r="7" spans="1:27" x14ac:dyDescent="0.2">
      <c r="A7" t="s">
        <v>5</v>
      </c>
      <c r="B7">
        <f ca="1">IFERROR(INDIRECT("'" &amp; SUBSTITUTE($B$1,"'","''") &amp; "'!B8"), "")</f>
        <v>0.26</v>
      </c>
      <c r="C7">
        <f ca="1">IFERROR(INDIRECT("'" &amp; SUBSTITUTE($B$1,"'","''") &amp; "'!C8"), "")</f>
        <v>73</v>
      </c>
      <c r="D7">
        <f ca="1">IFERROR(INDIRECT("'" &amp; SUBSTITUTE($D$1,"'","''") &amp; "'!B8"), "")</f>
        <v>0.09</v>
      </c>
      <c r="E7">
        <f ca="1">IFERROR(INDIRECT("'" &amp; SUBSTITUTE($D$1,"'","''") &amp; "'!C8"), "")</f>
        <v>26</v>
      </c>
      <c r="F7">
        <f ca="1">IFERROR(INDIRECT("'" &amp; SUBSTITUTE($F$1,"'","''") &amp; "'!B8"), "")</f>
        <v>0.37</v>
      </c>
      <c r="G7">
        <f ca="1">IFERROR(INDIRECT("'" &amp; SUBSTITUTE($F$1,"'","''") &amp; "'!C8"), "")</f>
        <v>87</v>
      </c>
      <c r="H7">
        <f ca="1">IFERROR(INDIRECT("'" &amp; SUBSTITUTE($H$1,"'","''") &amp; "'!B8"), "")</f>
        <v>0</v>
      </c>
      <c r="I7">
        <f ca="1">IFERROR(INDIRECT("'" &amp; SUBSTITUTE($H$1,"'","''") &amp; "'!C8"), "")</f>
        <v>3</v>
      </c>
      <c r="J7">
        <f ca="1">IFERROR(INDIRECT("'" &amp; SUBSTITUTE($J$1,"'","''") &amp; "'!B8"), "")</f>
        <v>0.11</v>
      </c>
      <c r="K7">
        <f ca="1">IFERROR(INDIRECT("'" &amp; SUBSTITUTE($J$1,"'","''") &amp; "'!C8"), "")</f>
        <v>78</v>
      </c>
      <c r="L7">
        <f ca="1">IFERROR(INDIRECT("'" &amp; SUBSTITUTE($L$1,"'","''") &amp; "'!B8"), "")</f>
        <v>0</v>
      </c>
      <c r="M7">
        <f ca="1">IFERROR(INDIRECT("'" &amp; SUBSTITUTE($L$1,"'","''") &amp; "'!C8"), "")</f>
        <v>7</v>
      </c>
      <c r="N7">
        <f ca="1">IFERROR(INDIRECT("'" &amp; SUBSTITUTE($N$1,"'","''") &amp; "'!B8"), "")</f>
        <v>0.15</v>
      </c>
      <c r="O7">
        <f ca="1">IFERROR(INDIRECT("'" &amp; SUBSTITUTE($N$1,"'","''") &amp; "'!C8"), "")</f>
        <v>42</v>
      </c>
      <c r="P7">
        <f ca="1">IFERROR(INDIRECT("'" &amp; SUBSTITUTE($P$1,"'","''") &amp; "'!B8"), "")</f>
        <v>7.0000000000000007E-2</v>
      </c>
      <c r="Q7">
        <f ca="1">IFERROR(INDIRECT("'" &amp; SUBSTITUTE($P$1,"'","''") &amp; "'!C8"), "")</f>
        <v>23</v>
      </c>
      <c r="R7">
        <f ca="1">IFERROR(INDIRECT("'" &amp; SUBSTITUTE($R$1,"'","''") &amp; "'!B8"), "")</f>
        <v>0.1</v>
      </c>
      <c r="S7">
        <f ca="1">IFERROR(INDIRECT("'" &amp; SUBSTITUTE($R$1,"'","''") &amp; "'!C8"), "")</f>
        <v>32</v>
      </c>
      <c r="T7">
        <f ca="1">IFERROR(INDIRECT("'" &amp; SUBSTITUTE($T$1,"'","''") &amp; "'!B8"), "")</f>
        <v>0.21</v>
      </c>
      <c r="U7">
        <f ca="1">IFERROR(INDIRECT("'" &amp; SUBSTITUTE($T$1,"'","''") &amp; "'!C8"), "")</f>
        <v>60</v>
      </c>
      <c r="V7">
        <f ca="1">IFERROR(INDIRECT("'" &amp; SUBSTITUTE($V$1,"'","''") &amp; "'!B8"), "")</f>
        <v>0</v>
      </c>
      <c r="W7">
        <f ca="1">IFERROR(INDIRECT("'" &amp; SUBSTITUTE($V$1,"'","''") &amp; "'!C8"), "")</f>
        <v>7</v>
      </c>
      <c r="X7">
        <f ca="1">IFERROR(INDIRECT("'" &amp; SUBSTITUTE($X$1,"'","''") &amp; "'!B8"), "")</f>
        <v>0.18</v>
      </c>
      <c r="Y7">
        <f ca="1">IFERROR(INDIRECT("'" &amp; SUBSTITUTE($X$1,"'","''") &amp; "'!C8"), "")</f>
        <v>57</v>
      </c>
    </row>
    <row r="8" spans="1:27" x14ac:dyDescent="0.2">
      <c r="A8" t="s">
        <v>6</v>
      </c>
      <c r="B8">
        <f ca="1">IFERROR(INDIRECT("'" &amp; SUBSTITUTE($B$1,"'","''") &amp; "'!B11"), "")</f>
        <v>0.13</v>
      </c>
      <c r="C8">
        <f ca="1">IFERROR(INDIRECT("'" &amp; SUBSTITUTE($B$1,"'","''") &amp; "'!C11"), "")</f>
        <v>76</v>
      </c>
      <c r="D8">
        <f ca="1">IFERROR(INDIRECT("'" &amp; SUBSTITUTE($D$1,"'","''") &amp; "'!B11"), "")</f>
        <v>0.06</v>
      </c>
      <c r="E8">
        <f ca="1">IFERROR(INDIRECT("'" &amp; SUBSTITUTE($D$1,"'","''") &amp; "'!C11"), "")</f>
        <v>47</v>
      </c>
      <c r="F8">
        <f ca="1">IFERROR(INDIRECT("'" &amp; SUBSTITUTE($F$1,"'","''") &amp; "'!B11"), "")</f>
        <v>0.05</v>
      </c>
      <c r="G8">
        <f ca="1">IFERROR(INDIRECT("'" &amp; SUBSTITUTE($F$1,"'","''") &amp; "'!C11"), "")</f>
        <v>39</v>
      </c>
      <c r="H8">
        <f ca="1">IFERROR(INDIRECT("'" &amp; SUBSTITUTE($H$1,"'","''") &amp; "'!B11"), "")</f>
        <v>0</v>
      </c>
      <c r="I8">
        <f ca="1">IFERROR(INDIRECT("'" &amp; SUBSTITUTE($H$1,"'","''") &amp; "'!C11"), "")</f>
        <v>11</v>
      </c>
      <c r="J8">
        <f ca="1">IFERROR(INDIRECT("'" &amp; SUBSTITUTE($J$1,"'","''") &amp; "'!B11"), "")</f>
        <v>0.09</v>
      </c>
      <c r="K8">
        <f ca="1">IFERROR(INDIRECT("'" &amp; SUBSTITUTE($J$1,"'","''") &amp; "'!C11"), "")</f>
        <v>81</v>
      </c>
      <c r="L8">
        <f ca="1">IFERROR(INDIRECT("'" &amp; SUBSTITUTE($L$1,"'","''") &amp; "'!B11"), "")</f>
        <v>0</v>
      </c>
      <c r="M8">
        <f ca="1">IFERROR(INDIRECT("'" &amp; SUBSTITUTE($L$1,"'","''") &amp; "'!C11"), "")</f>
        <v>14</v>
      </c>
      <c r="N8">
        <f ca="1">IFERROR(INDIRECT("'" &amp; SUBSTITUTE($N$1,"'","''") &amp; "'!B11"), "")</f>
        <v>0.12</v>
      </c>
      <c r="O8">
        <f ca="1">IFERROR(INDIRECT("'" &amp; SUBSTITUTE($N$1,"'","''") &amp; "'!C11"), "")</f>
        <v>67</v>
      </c>
      <c r="P8">
        <f ca="1">IFERROR(INDIRECT("'" &amp; SUBSTITUTE($P$1,"'","''") &amp; "'!B11"), "")</f>
        <v>0.04</v>
      </c>
      <c r="Q8">
        <f ca="1">IFERROR(INDIRECT("'" &amp; SUBSTITUTE($P$1,"'","''") &amp; "'!C11"), "")</f>
        <v>37</v>
      </c>
      <c r="R8">
        <f ca="1">IFERROR(INDIRECT("'" &amp; SUBSTITUTE($R$1,"'","''") &amp; "'!B11"), "")</f>
        <v>0</v>
      </c>
      <c r="S8">
        <f ca="1">IFERROR(INDIRECT("'" &amp; SUBSTITUTE($R$1,"'","''") &amp; "'!C11"), "")</f>
        <v>16</v>
      </c>
      <c r="T8">
        <f ca="1">IFERROR(INDIRECT("'" &amp; SUBSTITUTE($T$1,"'","''") &amp; "'!B11"), "")</f>
        <v>0.09</v>
      </c>
      <c r="U8">
        <f ca="1">IFERROR(INDIRECT("'" &amp; SUBSTITUTE($T$1,"'","''") &amp; "'!C11"), "")</f>
        <v>55</v>
      </c>
      <c r="V8">
        <f ca="1">IFERROR(INDIRECT("'" &amp; SUBSTITUTE($V$1,"'","''") &amp; "'!B11"), "")</f>
        <v>0</v>
      </c>
      <c r="W8">
        <f ca="1">IFERROR(INDIRECT("'" &amp; SUBSTITUTE($V$1,"'","''") &amp; "'!C11"), "")</f>
        <v>14</v>
      </c>
      <c r="X8">
        <f ca="1">IFERROR(INDIRECT("'" &amp; SUBSTITUTE($X$1,"'","''") &amp; "'!B11"), "")</f>
        <v>0.09</v>
      </c>
      <c r="Y8">
        <f ca="1">IFERROR(INDIRECT("'" &amp; SUBSTITUTE($X$1,"'","''") &amp; "'!C11"), "")</f>
        <v>63</v>
      </c>
    </row>
    <row r="9" spans="1:27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45</v>
      </c>
      <c r="D9">
        <f ca="1">IFERROR(INDIRECT("'" &amp; SUBSTITUTE($D$1,"'","''") &amp; "'!B14"), "")</f>
        <v>0</v>
      </c>
      <c r="E9">
        <f ca="1">IFERROR(INDIRECT("'" &amp; SUBSTITUTE($D$1,"'","''") &amp; "'!C14"), "")</f>
        <v>45</v>
      </c>
      <c r="F9">
        <f ca="1">IFERROR(INDIRECT("'" &amp; SUBSTITUTE($F$1,"'","''") &amp; "'!B14"), "")</f>
        <v>0</v>
      </c>
      <c r="G9">
        <f ca="1">IFERROR(INDIRECT("'" &amp; SUBSTITUTE($F$1,"'","''") &amp; "'!C14"), "")</f>
        <v>45</v>
      </c>
      <c r="H9">
        <f ca="1">IFERROR(INDIRECT("'" &amp; SUBSTITUTE($H$1,"'","''") &amp; "'!B14"), "")</f>
        <v>0</v>
      </c>
      <c r="I9">
        <f ca="1">IFERROR(INDIRECT("'" &amp; SUBSTITUTE($H$1,"'","''") &amp; "'!C14"), "")</f>
        <v>45</v>
      </c>
      <c r="J9">
        <f ca="1">IFERROR(INDIRECT("'" &amp; SUBSTITUTE($J$1,"'","''") &amp; "'!B14"), "")</f>
        <v>0</v>
      </c>
      <c r="K9">
        <f ca="1">IFERROR(INDIRECT("'" &amp; SUBSTITUTE($J$1,"'","''") &amp; "'!C14"), "")</f>
        <v>49</v>
      </c>
      <c r="L9">
        <f ca="1">IFERROR(INDIRECT("'" &amp; SUBSTITUTE($L$1,"'","''") &amp; "'!B14"), "")</f>
        <v>0</v>
      </c>
      <c r="M9">
        <f ca="1">IFERROR(INDIRECT("'" &amp; SUBSTITUTE($L$1,"'","''") &amp; "'!C14"), "")</f>
        <v>45</v>
      </c>
      <c r="N9">
        <f ca="1">IFERROR(INDIRECT("'" &amp; SUBSTITUTE($N$1,"'","''") &amp; "'!B14"), "")</f>
        <v>0</v>
      </c>
      <c r="O9">
        <f ca="1">IFERROR(INDIRECT("'" &amp; SUBSTITUTE($N$1,"'","''") &amp; "'!C14"), "")</f>
        <v>45</v>
      </c>
      <c r="P9">
        <f ca="1">IFERROR(INDIRECT("'" &amp; SUBSTITUTE($P$1,"'","''") &amp; "'!B14"), "")</f>
        <v>0</v>
      </c>
      <c r="Q9">
        <f ca="1">IFERROR(INDIRECT("'" &amp; SUBSTITUTE($P$1,"'","''") &amp; "'!C14"), "")</f>
        <v>46</v>
      </c>
      <c r="R9">
        <f ca="1">IFERROR(INDIRECT("'" &amp; SUBSTITUTE($R$1,"'","''") &amp; "'!B14"), "")</f>
        <v>0</v>
      </c>
      <c r="S9">
        <f ca="1">IFERROR(INDIRECT("'" &amp; SUBSTITUTE($R$1,"'","''") &amp; "'!C14"), "")</f>
        <v>46</v>
      </c>
      <c r="T9">
        <f ca="1">IFERROR(INDIRECT("'" &amp; SUBSTITUTE($T$1,"'","''") &amp; "'!B14"), "")</f>
        <v>0.09</v>
      </c>
      <c r="U9">
        <f ca="1">IFERROR(INDIRECT("'" &amp; SUBSTITUTE($T$1,"'","''") &amp; "'!C14"), "")</f>
        <v>99</v>
      </c>
      <c r="V9">
        <f ca="1">IFERROR(INDIRECT("'" &amp; SUBSTITUTE($V$1,"'","''") &amp; "'!B14"), "")</f>
        <v>0</v>
      </c>
      <c r="W9">
        <f ca="1">IFERROR(INDIRECT("'" &amp; SUBSTITUTE($V$1,"'","''") &amp; "'!C14"), "")</f>
        <v>45</v>
      </c>
      <c r="X9">
        <f ca="1">IFERROR(INDIRECT("'" &amp; SUBSTITUTE($X$1,"'","''") &amp; "'!B14"), "")</f>
        <v>0</v>
      </c>
      <c r="Y9">
        <f ca="1">IFERROR(INDIRECT("'" &amp; SUBSTITUTE($X$1,"'","''") &amp; "'!C14"), "")</f>
        <v>46</v>
      </c>
    </row>
    <row r="10" spans="1:27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44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44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44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44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49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45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45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45</v>
      </c>
      <c r="R10">
        <f ca="1">IFERROR(INDIRECT("'" &amp; SUBSTITUTE($R$1,"'","''") &amp; "'!B17"), "")</f>
        <v>0</v>
      </c>
      <c r="S10">
        <f ca="1">IFERROR(INDIRECT("'" &amp; SUBSTITUTE($R$1,"'","''") &amp; "'!C17"), "")</f>
        <v>45</v>
      </c>
      <c r="T10">
        <f ca="1">IFERROR(INDIRECT("'" &amp; SUBSTITUTE($T$1,"'","''") &amp; "'!B17"), "")</f>
        <v>0.09</v>
      </c>
      <c r="U10">
        <f ca="1">IFERROR(INDIRECT("'" &amp; SUBSTITUTE($T$1,"'","''") &amp; "'!C17"), "")</f>
        <v>98</v>
      </c>
      <c r="V10">
        <f ca="1">IFERROR(INDIRECT("'" &amp; SUBSTITUTE($V$1,"'","''") &amp; "'!B17"), "")</f>
        <v>0</v>
      </c>
      <c r="W10">
        <f ca="1">IFERROR(INDIRECT("'" &amp; SUBSTITUTE($V$1,"'","''") &amp; "'!C17"), "")</f>
        <v>45</v>
      </c>
      <c r="X10">
        <f ca="1">IFERROR(INDIRECT("'" &amp; SUBSTITUTE($X$1,"'","''") &amp; "'!B17"), "")</f>
        <v>0</v>
      </c>
      <c r="Y10">
        <f ca="1">IFERROR(INDIRECT("'" &amp; SUBSTITUTE($X$1,"'","''") &amp; "'!C17"), "")</f>
        <v>45</v>
      </c>
    </row>
    <row r="11" spans="1:27" x14ac:dyDescent="0.2">
      <c r="A11" t="s">
        <v>9</v>
      </c>
      <c r="B11">
        <f ca="1">IFERROR(INDIRECT("'" &amp; SUBSTITUTE($B$1,"'","''") &amp; "'!B20"), "")</f>
        <v>0.13</v>
      </c>
      <c r="C11">
        <f ca="1">IFERROR(INDIRECT("'" &amp; SUBSTITUTE($B$1,"'","''") &amp; "'!C20"), "")</f>
        <v>79</v>
      </c>
      <c r="D11">
        <f ca="1">IFERROR(INDIRECT("'" &amp; SUBSTITUTE($D$1,"'","''") &amp; "'!B20"), "")</f>
        <v>0.3</v>
      </c>
      <c r="E11">
        <f ca="1">IFERROR(INDIRECT("'" &amp; SUBSTITUTE($D$1,"'","''") &amp; "'!C20"), "")</f>
        <v>24</v>
      </c>
      <c r="F11">
        <f ca="1">IFERROR(INDIRECT("'" &amp; SUBSTITUTE($F$1,"'","''") &amp; "'!B20"), "")</f>
        <v>0.16</v>
      </c>
      <c r="G11">
        <f ca="1">IFERROR(INDIRECT("'" &amp; SUBSTITUTE($F$1,"'","''") &amp; "'!C20"), "")</f>
        <v>70</v>
      </c>
      <c r="H11">
        <f ca="1">IFERROR(INDIRECT("'" &amp; SUBSTITUTE($H$1,"'","''") &amp; "'!B20"), "")</f>
        <v>0.26</v>
      </c>
      <c r="I11">
        <f ca="1">IFERROR(INDIRECT("'" &amp; SUBSTITUTE($H$1,"'","''") &amp; "'!C20"), "")</f>
        <v>35</v>
      </c>
      <c r="J11">
        <f ca="1">IFERROR(INDIRECT("'" &amp; SUBSTITUTE($J$1,"'","''") &amp; "'!B20"), "")</f>
        <v>0.26</v>
      </c>
      <c r="K11">
        <f ca="1">IFERROR(INDIRECT("'" &amp; SUBSTITUTE($J$1,"'","''") &amp; "'!C20"), "")</f>
        <v>25</v>
      </c>
      <c r="L11">
        <f ca="1">IFERROR(INDIRECT("'" &amp; SUBSTITUTE($L$1,"'","''") &amp; "'!B20"), "")</f>
        <v>0.15</v>
      </c>
      <c r="M11">
        <f ca="1">IFERROR(INDIRECT("'" &amp; SUBSTITUTE($L$1,"'","''") &amp; "'!C20"), "")</f>
        <v>77</v>
      </c>
      <c r="N11">
        <f ca="1">IFERROR(INDIRECT("'" &amp; SUBSTITUTE($N$1,"'","''") &amp; "'!B20"), "")</f>
        <v>0.36</v>
      </c>
      <c r="O11">
        <f ca="1">IFERROR(INDIRECT("'" &amp; SUBSTITUTE($N$1,"'","''") &amp; "'!C20"), "")</f>
        <v>19</v>
      </c>
      <c r="P11">
        <f ca="1">IFERROR(INDIRECT("'" &amp; SUBSTITUTE($P$1,"'","''") &amp; "'!B20"), "")</f>
        <v>7.0000000000000007E-2</v>
      </c>
      <c r="Q11">
        <f ca="1">IFERROR(INDIRECT("'" &amp; SUBSTITUTE($P$1,"'","''") &amp; "'!C20"), "")</f>
        <v>86</v>
      </c>
      <c r="R11">
        <f ca="1">IFERROR(INDIRECT("'" &amp; SUBSTITUTE($R$1,"'","''") &amp; "'!B20"), "")</f>
        <v>0.15</v>
      </c>
      <c r="S11">
        <f ca="1">IFERROR(INDIRECT("'" &amp; SUBSTITUTE($R$1,"'","''") &amp; "'!C20"), "")</f>
        <v>68</v>
      </c>
      <c r="T11">
        <f ca="1">IFERROR(INDIRECT("'" &amp; SUBSTITUTE($T$1,"'","''") &amp; "'!B20"), "")</f>
        <v>0.36</v>
      </c>
      <c r="U11">
        <f ca="1">IFERROR(INDIRECT("'" &amp; SUBSTITUTE($T$1,"'","''") &amp; "'!C20"), "")</f>
        <v>20</v>
      </c>
      <c r="V11">
        <f ca="1">IFERROR(INDIRECT("'" &amp; SUBSTITUTE($V$1,"'","''") &amp; "'!B20"), "")</f>
        <v>0.44</v>
      </c>
      <c r="W11">
        <f ca="1">IFERROR(INDIRECT("'" &amp; SUBSTITUTE($V$1,"'","''") &amp; "'!C20"), "")</f>
        <v>7</v>
      </c>
      <c r="X11">
        <f ca="1">IFERROR(INDIRECT("'" &amp; SUBSTITUTE($X$1,"'","''") &amp; "'!B20"), "")</f>
        <v>0.18</v>
      </c>
      <c r="Y11">
        <f ca="1">IFERROR(INDIRECT("'" &amp; SUBSTITUTE($X$1,"'","''") &amp; "'!C20"), "")</f>
        <v>51</v>
      </c>
    </row>
    <row r="12" spans="1:27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59</v>
      </c>
      <c r="D12">
        <f ca="1">IFERROR(INDIRECT("'" &amp; SUBSTITUTE($D$1,"'","''") &amp; "'!B23"), "")</f>
        <v>0.03</v>
      </c>
      <c r="E12">
        <f ca="1">IFERROR(INDIRECT("'" &amp; SUBSTITUTE($D$1,"'","''") &amp; "'!C23"), "")</f>
        <v>13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59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59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62</v>
      </c>
      <c r="L12">
        <f ca="1">IFERROR(INDIRECT("'" &amp; SUBSTITUTE($L$1,"'","''") &amp; "'!B23"), "")</f>
        <v>0</v>
      </c>
      <c r="M12">
        <f ca="1">IFERROR(INDIRECT("'" &amp; SUBSTITUTE($L$1,"'","''") &amp; "'!C23"), "")</f>
        <v>58</v>
      </c>
      <c r="N12">
        <f ca="1">IFERROR(INDIRECT("'" &amp; SUBSTITUTE($N$1,"'","''") &amp; "'!B23"), "")</f>
        <v>0.03</v>
      </c>
      <c r="O12">
        <f ca="1">IFERROR(INDIRECT("'" &amp; SUBSTITUTE($N$1,"'","''") &amp; "'!C23"), "")</f>
        <v>11</v>
      </c>
      <c r="P12">
        <f ca="1">IFERROR(INDIRECT("'" &amp; SUBSTITUTE($P$1,"'","''") &amp; "'!B23"), "")</f>
        <v>0.04</v>
      </c>
      <c r="Q12">
        <f ca="1">IFERROR(INDIRECT("'" &amp; SUBSTITUTE($P$1,"'","''") &amp; "'!C23"), "")</f>
        <v>7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55</v>
      </c>
      <c r="T12">
        <f ca="1">IFERROR(INDIRECT("'" &amp; SUBSTITUTE($T$1,"'","''") &amp; "'!B23"), "")</f>
        <v>0</v>
      </c>
      <c r="U12">
        <f ca="1">IFERROR(INDIRECT("'" &amp; SUBSTITUTE($T$1,"'","''") &amp; "'!C23"), "")</f>
        <v>55</v>
      </c>
      <c r="V12">
        <f ca="1">IFERROR(INDIRECT("'" &amp; SUBSTITUTE($V$1,"'","''") &amp; "'!B23"), "")</f>
        <v>0</v>
      </c>
      <c r="W12">
        <f ca="1">IFERROR(INDIRECT("'" &amp; SUBSTITUTE($V$1,"'","''") &amp; "'!C23"), "")</f>
        <v>58</v>
      </c>
      <c r="X12">
        <f ca="1">IFERROR(INDIRECT("'" &amp; SUBSTITUTE($X$1,"'","''") &amp; "'!B23"), "")</f>
        <v>0</v>
      </c>
      <c r="Y12">
        <f ca="1">IFERROR(INDIRECT("'" &amp; SUBSTITUTE($X$1,"'","''") &amp; "'!C23"), "")</f>
        <v>54</v>
      </c>
    </row>
    <row r="13" spans="1:27" x14ac:dyDescent="0.2">
      <c r="A13" t="s">
        <v>11</v>
      </c>
      <c r="B13">
        <f ca="1">IFERROR(INDIRECT("'" &amp; SUBSTITUTE($B$1,"'","''") &amp; "'!B26"), "")</f>
        <v>0.19</v>
      </c>
      <c r="C13">
        <f ca="1">IFERROR(INDIRECT("'" &amp; SUBSTITUTE($B$1,"'","''") &amp; "'!C26"), "")</f>
        <v>90</v>
      </c>
      <c r="D13">
        <f ca="1">IFERROR(INDIRECT("'" &amp; SUBSTITUTE($D$1,"'","''") &amp; "'!B26"), "")</f>
        <v>0.08</v>
      </c>
      <c r="E13">
        <f ca="1">IFERROR(INDIRECT("'" &amp; SUBSTITUTE($D$1,"'","''") &amp; "'!C26"), "")</f>
        <v>57</v>
      </c>
      <c r="F13">
        <f ca="1">IFERROR(INDIRECT("'" &amp; SUBSTITUTE($F$1,"'","''") &amp; "'!B26"), "")</f>
        <v>0.08</v>
      </c>
      <c r="G13">
        <f ca="1">IFERROR(INDIRECT("'" &amp; SUBSTITUTE($F$1,"'","''") &amp; "'!C26"), "")</f>
        <v>57</v>
      </c>
      <c r="H13">
        <f ca="1">IFERROR(INDIRECT("'" &amp; SUBSTITUTE($H$1,"'","''") &amp; "'!B26"), "")</f>
        <v>0.01</v>
      </c>
      <c r="I13">
        <f ca="1">IFERROR(INDIRECT("'" &amp; SUBSTITUTE($H$1,"'","''") &amp; "'!C26"), "")</f>
        <v>5</v>
      </c>
      <c r="J13">
        <f ca="1">IFERROR(INDIRECT("'" &amp; SUBSTITUTE($J$1,"'","''") &amp; "'!B26"), "")</f>
        <v>7.0000000000000007E-2</v>
      </c>
      <c r="K13">
        <f ca="1">IFERROR(INDIRECT("'" &amp; SUBSTITUTE($J$1,"'","''") &amp; "'!C26"), "")</f>
        <v>76</v>
      </c>
      <c r="L13">
        <f ca="1">IFERROR(INDIRECT("'" &amp; SUBSTITUTE($L$1,"'","''") &amp; "'!B26"), "")</f>
        <v>0.03</v>
      </c>
      <c r="M13">
        <f ca="1">IFERROR(INDIRECT("'" &amp; SUBSTITUTE($L$1,"'","''") &amp; "'!C26"), "")</f>
        <v>17</v>
      </c>
      <c r="N13">
        <f ca="1">IFERROR(INDIRECT("'" &amp; SUBSTITUTE($N$1,"'","''") &amp; "'!B26"), "")</f>
        <v>0.14000000000000001</v>
      </c>
      <c r="O13">
        <f ca="1">IFERROR(INDIRECT("'" &amp; SUBSTITUTE($N$1,"'","''") &amp; "'!C26"), "")</f>
        <v>68</v>
      </c>
      <c r="P13">
        <f ca="1">IFERROR(INDIRECT("'" &amp; SUBSTITUTE($P$1,"'","''") &amp; "'!B26"), "")</f>
        <v>0.09</v>
      </c>
      <c r="Q13">
        <f ca="1">IFERROR(INDIRECT("'" &amp; SUBSTITUTE($P$1,"'","''") &amp; "'!C26"), "")</f>
        <v>46</v>
      </c>
      <c r="R13">
        <f ca="1">IFERROR(INDIRECT("'" &amp; SUBSTITUTE($R$1,"'","''") &amp; "'!B26"), "")</f>
        <v>7.0000000000000007E-2</v>
      </c>
      <c r="S13">
        <f ca="1">IFERROR(INDIRECT("'" &amp; SUBSTITUTE($R$1,"'","''") &amp; "'!C26"), "")</f>
        <v>34</v>
      </c>
      <c r="T13">
        <f ca="1">IFERROR(INDIRECT("'" &amp; SUBSTITUTE($T$1,"'","''") &amp; "'!B26"), "")</f>
        <v>0.16</v>
      </c>
      <c r="U13">
        <f ca="1">IFERROR(INDIRECT("'" &amp; SUBSTITUTE($T$1,"'","''") &amp; "'!C26"), "")</f>
        <v>81</v>
      </c>
      <c r="V13">
        <f ca="1">IFERROR(INDIRECT("'" &amp; SUBSTITUTE($V$1,"'","''") &amp; "'!B26"), "")</f>
        <v>0.03</v>
      </c>
      <c r="W13">
        <f ca="1">IFERROR(INDIRECT("'" &amp; SUBSTITUTE($V$1,"'","''") &amp; "'!C26"), "")</f>
        <v>18</v>
      </c>
      <c r="X13">
        <f ca="1">IFERROR(INDIRECT("'" &amp; SUBSTITUTE($X$1,"'","''") &amp; "'!B26"), "")</f>
        <v>0.1</v>
      </c>
      <c r="Y13">
        <f ca="1">IFERROR(INDIRECT("'" &amp; SUBSTITUTE($X$1,"'","''") &amp; "'!C26"), "")</f>
        <v>56</v>
      </c>
    </row>
    <row r="14" spans="1:27" x14ac:dyDescent="0.2">
      <c r="A14" t="s">
        <v>12</v>
      </c>
      <c r="B14">
        <f ca="1">IFERROR(INDIRECT("'" &amp; SUBSTITUTE($B$1,"'","''") &amp; "'!B29"), "")</f>
        <v>0.19</v>
      </c>
      <c r="C14">
        <f ca="1">IFERROR(INDIRECT("'" &amp; SUBSTITUTE($B$1,"'","''") &amp; "'!C29"), "")</f>
        <v>92</v>
      </c>
      <c r="D14">
        <f ca="1">IFERROR(INDIRECT("'" &amp; SUBSTITUTE($D$1,"'","''") &amp; "'!B29"), "")</f>
        <v>0.08</v>
      </c>
      <c r="E14">
        <f ca="1">IFERROR(INDIRECT("'" &amp; SUBSTITUTE($D$1,"'","''") &amp; "'!C29"), "")</f>
        <v>61</v>
      </c>
      <c r="F14">
        <f ca="1">IFERROR(INDIRECT("'" &amp; SUBSTITUTE($F$1,"'","''") &amp; "'!B29"), "")</f>
        <v>0.08</v>
      </c>
      <c r="G14">
        <f ca="1">IFERROR(INDIRECT("'" &amp; SUBSTITUTE($F$1,"'","''") &amp; "'!C29"), "")</f>
        <v>61</v>
      </c>
      <c r="H14">
        <f ca="1">IFERROR(INDIRECT("'" &amp; SUBSTITUTE($H$1,"'","''") &amp; "'!B29"), "")</f>
        <v>0.01</v>
      </c>
      <c r="I14">
        <f ca="1">IFERROR(INDIRECT("'" &amp; SUBSTITUTE($H$1,"'","''") &amp; "'!C29"), "")</f>
        <v>5</v>
      </c>
      <c r="J14">
        <f ca="1">IFERROR(INDIRECT("'" &amp; SUBSTITUTE($J$1,"'","''") &amp; "'!B29"), "")</f>
        <v>7.0000000000000007E-2</v>
      </c>
      <c r="K14">
        <f ca="1">IFERROR(INDIRECT("'" &amp; SUBSTITUTE($J$1,"'","''") &amp; "'!C29"), "")</f>
        <v>77</v>
      </c>
      <c r="L14">
        <f ca="1">IFERROR(INDIRECT("'" &amp; SUBSTITUTE($L$1,"'","''") &amp; "'!B29"), "")</f>
        <v>0.03</v>
      </c>
      <c r="M14">
        <f ca="1">IFERROR(INDIRECT("'" &amp; SUBSTITUTE($L$1,"'","''") &amp; "'!C29"), "")</f>
        <v>18</v>
      </c>
      <c r="N14">
        <f ca="1">IFERROR(INDIRECT("'" &amp; SUBSTITUTE($N$1,"'","''") &amp; "'!B29"), "")</f>
        <v>0.14000000000000001</v>
      </c>
      <c r="O14">
        <f ca="1">IFERROR(INDIRECT("'" &amp; SUBSTITUTE($N$1,"'","''") &amp; "'!C29"), "")</f>
        <v>71</v>
      </c>
      <c r="P14">
        <f ca="1">IFERROR(INDIRECT("'" &amp; SUBSTITUTE($P$1,"'","''") &amp; "'!B29"), "")</f>
        <v>0.09</v>
      </c>
      <c r="Q14">
        <f ca="1">IFERROR(INDIRECT("'" &amp; SUBSTITUTE($P$1,"'","''") &amp; "'!C29"), "")</f>
        <v>49</v>
      </c>
      <c r="R14">
        <f ca="1">IFERROR(INDIRECT("'" &amp; SUBSTITUTE($R$1,"'","''") &amp; "'!B29"), "")</f>
        <v>7.0000000000000007E-2</v>
      </c>
      <c r="S14">
        <f ca="1">IFERROR(INDIRECT("'" &amp; SUBSTITUTE($R$1,"'","''") &amp; "'!C29"), "")</f>
        <v>37</v>
      </c>
      <c r="T14">
        <f ca="1">IFERROR(INDIRECT("'" &amp; SUBSTITUTE($T$1,"'","''") &amp; "'!B29"), "")</f>
        <v>0.08</v>
      </c>
      <c r="U14">
        <f ca="1">IFERROR(INDIRECT("'" &amp; SUBSTITUTE($T$1,"'","''") &amp; "'!C29"), "")</f>
        <v>46</v>
      </c>
      <c r="V14">
        <f ca="1">IFERROR(INDIRECT("'" &amp; SUBSTITUTE($V$1,"'","''") &amp; "'!B29"), "")</f>
        <v>0.03</v>
      </c>
      <c r="W14">
        <f ca="1">IFERROR(INDIRECT("'" &amp; SUBSTITUTE($V$1,"'","''") &amp; "'!C29"), "")</f>
        <v>18</v>
      </c>
      <c r="X14">
        <f ca="1">IFERROR(INDIRECT("'" &amp; SUBSTITUTE($X$1,"'","''") &amp; "'!B29"), "")</f>
        <v>0.1</v>
      </c>
      <c r="Y14">
        <f ca="1">IFERROR(INDIRECT("'" &amp; SUBSTITUTE($X$1,"'","''") &amp; "'!C29"), "")</f>
        <v>62</v>
      </c>
    </row>
    <row r="15" spans="1:27" x14ac:dyDescent="0.2">
      <c r="A15" t="s">
        <v>13</v>
      </c>
      <c r="B15">
        <f ca="1">IFERROR(INDIRECT("'" &amp; SUBSTITUTE($B$1,"'","''") &amp; "'!B32"), "")</f>
        <v>0.13</v>
      </c>
      <c r="C15">
        <f ca="1">IFERROR(INDIRECT("'" &amp; SUBSTITUTE($B$1,"'","''") &amp; "'!C32"), "")</f>
        <v>77</v>
      </c>
      <c r="D15">
        <f ca="1">IFERROR(INDIRECT("'" &amp; SUBSTITUTE($D$1,"'","''") &amp; "'!B32"), "")</f>
        <v>0.04</v>
      </c>
      <c r="E15">
        <f ca="1">IFERROR(INDIRECT("'" &amp; SUBSTITUTE($D$1,"'","''") &amp; "'!C32"), "")</f>
        <v>16</v>
      </c>
      <c r="F15">
        <f ca="1">IFERROR(INDIRECT("'" &amp; SUBSTITUTE($F$1,"'","''") &amp; "'!B32"), "")</f>
        <v>0.2</v>
      </c>
      <c r="G15">
        <f ca="1">IFERROR(INDIRECT("'" &amp; SUBSTITUTE($F$1,"'","''") &amp; "'!C32"), "")</f>
        <v>91</v>
      </c>
      <c r="H15">
        <f ca="1">IFERROR(INDIRECT("'" &amp; SUBSTITUTE($H$1,"'","''") &amp; "'!B32"), "")</f>
        <v>0.03</v>
      </c>
      <c r="I15">
        <f ca="1">IFERROR(INDIRECT("'" &amp; SUBSTITUTE($H$1,"'","''") &amp; "'!C32"), "")</f>
        <v>7</v>
      </c>
      <c r="J15">
        <f ca="1">IFERROR(INDIRECT("'" &amp; SUBSTITUTE($J$1,"'","''") &amp; "'!B32"), "")</f>
        <v>0.03</v>
      </c>
      <c r="K15">
        <f ca="1">IFERROR(INDIRECT("'" &amp; SUBSTITUTE($J$1,"'","''") &amp; "'!C32"), "")</f>
        <v>63</v>
      </c>
      <c r="L15">
        <f ca="1">IFERROR(INDIRECT("'" &amp; SUBSTITUTE($L$1,"'","''") &amp; "'!B32"), "")</f>
        <v>0.03</v>
      </c>
      <c r="M15">
        <f ca="1">IFERROR(INDIRECT("'" &amp; SUBSTITUTE($L$1,"'","''") &amp; "'!C32"), "")</f>
        <v>11</v>
      </c>
      <c r="N15">
        <f ca="1">IFERROR(INDIRECT("'" &amp; SUBSTITUTE($N$1,"'","''") &amp; "'!B32"), "")</f>
        <v>0.05</v>
      </c>
      <c r="O15">
        <f ca="1">IFERROR(INDIRECT("'" &amp; SUBSTITUTE($N$1,"'","''") &amp; "'!C32"), "")</f>
        <v>23</v>
      </c>
      <c r="P15">
        <f ca="1">IFERROR(INDIRECT("'" &amp; SUBSTITUTE($P$1,"'","''") &amp; "'!B32"), "")</f>
        <v>0.08</v>
      </c>
      <c r="Q15">
        <f ca="1">IFERROR(INDIRECT("'" &amp; SUBSTITUTE($P$1,"'","''") &amp; "'!C32"), "")</f>
        <v>41</v>
      </c>
      <c r="R15">
        <f ca="1">IFERROR(INDIRECT("'" &amp; SUBSTITUTE($R$1,"'","''") &amp; "'!B32"), "")</f>
        <v>0.13</v>
      </c>
      <c r="S15">
        <f ca="1">IFERROR(INDIRECT("'" &amp; SUBSTITUTE($R$1,"'","''") &amp; "'!C32"), "")</f>
        <v>70</v>
      </c>
      <c r="T15">
        <f ca="1">IFERROR(INDIRECT("'" &amp; SUBSTITUTE($T$1,"'","''") &amp; "'!B32"), "")</f>
        <v>0.05</v>
      </c>
      <c r="U15">
        <f ca="1">IFERROR(INDIRECT("'" &amp; SUBSTITUTE($T$1,"'","''") &amp; "'!C32"), "")</f>
        <v>23</v>
      </c>
      <c r="V15">
        <f ca="1">IFERROR(INDIRECT("'" &amp; SUBSTITUTE($V$1,"'","''") &amp; "'!B32"), "")</f>
        <v>0.04</v>
      </c>
      <c r="W15">
        <f ca="1">IFERROR(INDIRECT("'" &amp; SUBSTITUTE($V$1,"'","''") &amp; "'!C32"), "")</f>
        <v>20</v>
      </c>
      <c r="X15">
        <f ca="1">IFERROR(INDIRECT("'" &amp; SUBSTITUTE($X$1,"'","''") &amp; "'!B32"), "")</f>
        <v>0.05</v>
      </c>
      <c r="Y15">
        <f ca="1">IFERROR(INDIRECT("'" &amp; SUBSTITUTE($X$1,"'","''") &amp; "'!C32"), "")</f>
        <v>25</v>
      </c>
    </row>
    <row r="16" spans="1:27" x14ac:dyDescent="0.2">
      <c r="A16" t="s">
        <v>14</v>
      </c>
      <c r="B16">
        <f ca="1">IFERROR(INDIRECT("'" &amp; SUBSTITUTE($B$1,"'","''") &amp; "'!B35"), "")</f>
        <v>0.32</v>
      </c>
      <c r="C16">
        <f ca="1">IFERROR(INDIRECT("'" &amp; SUBSTITUTE($B$1,"'","''") &amp; "'!C35"), "")</f>
        <v>89</v>
      </c>
      <c r="D16">
        <f ca="1">IFERROR(INDIRECT("'" &amp; SUBSTITUTE($D$1,"'","''") &amp; "'!B35"), "")</f>
        <v>0.12</v>
      </c>
      <c r="E16">
        <f ca="1">IFERROR(INDIRECT("'" &amp; SUBSTITUTE($D$1,"'","''") &amp; "'!C35"), "")</f>
        <v>35</v>
      </c>
      <c r="F16">
        <f ca="1">IFERROR(INDIRECT("'" &amp; SUBSTITUTE($F$1,"'","''") &amp; "'!B35"), "")</f>
        <v>0.28000000000000003</v>
      </c>
      <c r="G16">
        <f ca="1">IFERROR(INDIRECT("'" &amp; SUBSTITUTE($F$1,"'","''") &amp; "'!C35"), "")</f>
        <v>85</v>
      </c>
      <c r="H16">
        <f ca="1">IFERROR(INDIRECT("'" &amp; SUBSTITUTE($H$1,"'","''") &amp; "'!B35"), "")</f>
        <v>0.04</v>
      </c>
      <c r="I16">
        <f ca="1">IFERROR(INDIRECT("'" &amp; SUBSTITUTE($H$1,"'","''") &amp; "'!C35"), "")</f>
        <v>2</v>
      </c>
      <c r="J16">
        <f ca="1">IFERROR(INDIRECT("'" &amp; SUBSTITUTE($J$1,"'","''") &amp; "'!B35"), "")</f>
        <v>0.1</v>
      </c>
      <c r="K16">
        <f ca="1">IFERROR(INDIRECT("'" &amp; SUBSTITUTE($J$1,"'","''") &amp; "'!C35"), "")</f>
        <v>73</v>
      </c>
      <c r="L16">
        <f ca="1">IFERROR(INDIRECT("'" &amp; SUBSTITUTE($L$1,"'","''") &amp; "'!B35"), "")</f>
        <v>7.0000000000000007E-2</v>
      </c>
      <c r="M16">
        <f ca="1">IFERROR(INDIRECT("'" &amp; SUBSTITUTE($L$1,"'","''") &amp; "'!C35"), "")</f>
        <v>7</v>
      </c>
      <c r="N16">
        <f ca="1">IFERROR(INDIRECT("'" &amp; SUBSTITUTE($N$1,"'","''") &amp; "'!B35"), "")</f>
        <v>0.19</v>
      </c>
      <c r="O16">
        <f ca="1">IFERROR(INDIRECT("'" &amp; SUBSTITUTE($N$1,"'","''") &amp; "'!C35"), "")</f>
        <v>44</v>
      </c>
      <c r="P16">
        <f ca="1">IFERROR(INDIRECT("'" &amp; SUBSTITUTE($P$1,"'","''") &amp; "'!B35"), "")</f>
        <v>0.17</v>
      </c>
      <c r="Q16">
        <f ca="1">IFERROR(INDIRECT("'" &amp; SUBSTITUTE($P$1,"'","''") &amp; "'!C35"), "")</f>
        <v>43</v>
      </c>
      <c r="R16">
        <f ca="1">IFERROR(INDIRECT("'" &amp; SUBSTITUTE($R$1,"'","''") &amp; "'!B35"), "")</f>
        <v>0.2</v>
      </c>
      <c r="S16">
        <f ca="1">IFERROR(INDIRECT("'" &amp; SUBSTITUTE($R$1,"'","''") &amp; "'!C35"), "")</f>
        <v>51</v>
      </c>
      <c r="T16">
        <f ca="1">IFERROR(INDIRECT("'" &amp; SUBSTITUTE($T$1,"'","''") &amp; "'!B35"), "")</f>
        <v>0.13</v>
      </c>
      <c r="U16">
        <f ca="1">IFERROR(INDIRECT("'" &amp; SUBSTITUTE($T$1,"'","''") &amp; "'!C35"), "")</f>
        <v>30</v>
      </c>
      <c r="V16">
        <f ca="1">IFERROR(INDIRECT("'" &amp; SUBSTITUTE($V$1,"'","''") &amp; "'!B35"), "")</f>
        <v>0.08</v>
      </c>
      <c r="W16">
        <f ca="1">IFERROR(INDIRECT("'" &amp; SUBSTITUTE($V$1,"'","''") &amp; "'!C35"), "")</f>
        <v>14</v>
      </c>
      <c r="X16">
        <f ca="1">IFERROR(INDIRECT("'" &amp; SUBSTITUTE($X$1,"'","''") &amp; "'!B35"), "")</f>
        <v>0.15</v>
      </c>
      <c r="Y16">
        <f ca="1">IFERROR(INDIRECT("'" &amp; SUBSTITUTE($X$1,"'","''") &amp; "'!C35"), "")</f>
        <v>46</v>
      </c>
    </row>
    <row r="17" spans="1:25" x14ac:dyDescent="0.2">
      <c r="A17" t="s">
        <v>15</v>
      </c>
      <c r="B17">
        <f ca="1">IFERROR(INDIRECT("'" &amp; SUBSTITUTE($B$1,"'","''") &amp; "'!B39"), "")</f>
        <v>0.68</v>
      </c>
      <c r="C17">
        <f ca="1">IFERROR(INDIRECT("'" &amp; SUBSTITUTE($B$1,"'","''") &amp; "'!C39"), "")</f>
        <v>16</v>
      </c>
      <c r="D17">
        <f ca="1">IFERROR(INDIRECT("'" &amp; SUBSTITUTE($D$1,"'","''") &amp; "'!B39"), "")</f>
        <v>1.57</v>
      </c>
      <c r="E17">
        <f ca="1">IFERROR(INDIRECT("'" &amp; SUBSTITUTE($D$1,"'","''") &amp; "'!C39"), "")</f>
        <v>70</v>
      </c>
      <c r="F17">
        <f ca="1">IFERROR(INDIRECT("'" &amp; SUBSTITUTE($F$1,"'","''") &amp; "'!B39"), "")</f>
        <v>3.03</v>
      </c>
      <c r="G17">
        <f ca="1">IFERROR(INDIRECT("'" &amp; SUBSTITUTE($F$1,"'","''") &amp; "'!C39"), "")</f>
        <v>97</v>
      </c>
      <c r="H17">
        <f ca="1">IFERROR(INDIRECT("'" &amp; SUBSTITUTE($H$1,"'","''") &amp; "'!B39"), "")</f>
        <v>0.54</v>
      </c>
      <c r="I17">
        <f ca="1">IFERROR(INDIRECT("'" &amp; SUBSTITUTE($H$1,"'","''") &amp; "'!C39"), "")</f>
        <v>8</v>
      </c>
      <c r="J17">
        <f ca="1">IFERROR(INDIRECT("'" &amp; SUBSTITUTE($J$1,"'","''") &amp; "'!B39"), "")</f>
        <v>0.69</v>
      </c>
      <c r="K17">
        <f ca="1">IFERROR(INDIRECT("'" &amp; SUBSTITUTE($J$1,"'","''") &amp; "'!C39"), "")</f>
        <v>59</v>
      </c>
      <c r="L17">
        <f ca="1">IFERROR(INDIRECT("'" &amp; SUBSTITUTE($L$1,"'","''") &amp; "'!B39"), "")</f>
        <v>1.55</v>
      </c>
      <c r="M17">
        <f ca="1">IFERROR(INDIRECT("'" &amp; SUBSTITUTE($L$1,"'","''") &amp; "'!C39"), "")</f>
        <v>54</v>
      </c>
      <c r="N17">
        <f ca="1">IFERROR(INDIRECT("'" &amp; SUBSTITUTE($N$1,"'","''") &amp; "'!B39"), "")</f>
        <v>0.97</v>
      </c>
      <c r="O17">
        <f ca="1">IFERROR(INDIRECT("'" &amp; SUBSTITUTE($N$1,"'","''") &amp; "'!C39"), "")</f>
        <v>31</v>
      </c>
      <c r="P17">
        <f ca="1">IFERROR(INDIRECT("'" &amp; SUBSTITUTE($P$1,"'","''") &amp; "'!B39"), "")</f>
        <v>2.15</v>
      </c>
      <c r="Q17">
        <f ca="1">IFERROR(INDIRECT("'" &amp; SUBSTITUTE($P$1,"'","''") &amp; "'!C39"), "")</f>
        <v>72</v>
      </c>
      <c r="R17">
        <f ca="1">IFERROR(INDIRECT("'" &amp; SUBSTITUTE($R$1,"'","''") &amp; "'!B39"), "")</f>
        <v>1.1599999999999999</v>
      </c>
      <c r="S17">
        <f ca="1">IFERROR(INDIRECT("'" &amp; SUBSTITUTE($R$1,"'","''") &amp; "'!C39"), "")</f>
        <v>48</v>
      </c>
      <c r="T17">
        <f ca="1">IFERROR(INDIRECT("'" &amp; SUBSTITUTE($T$1,"'","''") &amp; "'!B39"), "")</f>
        <v>0.83</v>
      </c>
      <c r="U17">
        <f ca="1">IFERROR(INDIRECT("'" &amp; SUBSTITUTE($T$1,"'","''") &amp; "'!C39"), "")</f>
        <v>27</v>
      </c>
      <c r="V17">
        <f ca="1">IFERROR(INDIRECT("'" &amp; SUBSTITUTE($V$1,"'","''") &amp; "'!B39"), "")</f>
        <v>0.99</v>
      </c>
      <c r="W17">
        <f ca="1">IFERROR(INDIRECT("'" &amp; SUBSTITUTE($V$1,"'","''") &amp; "'!C39"), "")</f>
        <v>34</v>
      </c>
      <c r="X17">
        <f ca="1">IFERROR(INDIRECT("'" &amp; SUBSTITUTE($X$1,"'","''") &amp; "'!B39"), "")</f>
        <v>0.42</v>
      </c>
      <c r="Y17">
        <f ca="1">IFERROR(INDIRECT("'" &amp; SUBSTITUTE($X$1,"'","''") &amp; "'!C39"), "")</f>
        <v>6</v>
      </c>
    </row>
    <row r="18" spans="1:25" x14ac:dyDescent="0.2">
      <c r="A18" t="s">
        <v>16</v>
      </c>
      <c r="B18">
        <f ca="1">IFERROR(INDIRECT("'" &amp; SUBSTITUTE($B$1,"'","''") &amp; "'!B42"), "")</f>
        <v>1.2</v>
      </c>
      <c r="C18">
        <f ca="1">IFERROR(INDIRECT("'" &amp; SUBSTITUTE($B$1,"'","''") &amp; "'!C42"), "")</f>
        <v>1</v>
      </c>
      <c r="D18">
        <f ca="1">IFERROR(INDIRECT("'" &amp; SUBSTITUTE($D$1,"'","''") &amp; "'!B42"), "")</f>
        <v>5.63</v>
      </c>
      <c r="E18">
        <f ca="1">IFERROR(INDIRECT("'" &amp; SUBSTITUTE($D$1,"'","''") &amp; "'!C42"), "")</f>
        <v>69</v>
      </c>
      <c r="F18">
        <f ca="1">IFERROR(INDIRECT("'" &amp; SUBSTITUTE($F$1,"'","''") &amp; "'!B42"), "")</f>
        <v>3.34</v>
      </c>
      <c r="G18">
        <f ca="1">IFERROR(INDIRECT("'" &amp; SUBSTITUTE($F$1,"'","''") &amp; "'!C42"), "")</f>
        <v>17</v>
      </c>
      <c r="H18">
        <f ca="1">IFERROR(INDIRECT("'" &amp; SUBSTITUTE($H$1,"'","''") &amp; "'!B42"), "")</f>
        <v>4.03</v>
      </c>
      <c r="I18">
        <f ca="1">IFERROR(INDIRECT("'" &amp; SUBSTITUTE($H$1,"'","''") &amp; "'!C42"), "")</f>
        <v>34</v>
      </c>
      <c r="J18">
        <f ca="1">IFERROR(INDIRECT("'" &amp; SUBSTITUTE($J$1,"'","''") &amp; "'!B42"), "")</f>
        <v>4.97</v>
      </c>
      <c r="K18">
        <f ca="1">IFERROR(INDIRECT("'" &amp; SUBSTITUTE($J$1,"'","''") &amp; "'!C42"), "")</f>
        <v>86</v>
      </c>
      <c r="L18">
        <f ca="1">IFERROR(INDIRECT("'" &amp; SUBSTITUTE($L$1,"'","''") &amp; "'!B42"), "")</f>
        <v>5.97</v>
      </c>
      <c r="M18">
        <f ca="1">IFERROR(INDIRECT("'" &amp; SUBSTITUTE($L$1,"'","''") &amp; "'!C42"), "")</f>
        <v>79</v>
      </c>
      <c r="N18">
        <f ca="1">IFERROR(INDIRECT("'" &amp; SUBSTITUTE($N$1,"'","''") &amp; "'!B42"), "")</f>
        <v>2.2999999999999998</v>
      </c>
      <c r="O18">
        <f ca="1">IFERROR(INDIRECT("'" &amp; SUBSTITUTE($N$1,"'","''") &amp; "'!C42"), "")</f>
        <v>5</v>
      </c>
      <c r="P18">
        <f ca="1">IFERROR(INDIRECT("'" &amp; SUBSTITUTE($P$1,"'","''") &amp; "'!B42"), "")</f>
        <v>3.06</v>
      </c>
      <c r="Q18">
        <f ca="1">IFERROR(INDIRECT("'" &amp; SUBSTITUTE($P$1,"'","''") &amp; "'!C42"), "")</f>
        <v>21</v>
      </c>
      <c r="R18">
        <f ca="1">IFERROR(INDIRECT("'" &amp; SUBSTITUTE($R$1,"'","''") &amp; "'!B42"), "")</f>
        <v>6.67</v>
      </c>
      <c r="S18">
        <f ca="1">IFERROR(INDIRECT("'" &amp; SUBSTITUTE($R$1,"'","''") &amp; "'!C42"), "")</f>
        <v>82</v>
      </c>
      <c r="T18">
        <f ca="1">IFERROR(INDIRECT("'" &amp; SUBSTITUTE($T$1,"'","''") &amp; "'!B42"), "")</f>
        <v>6.5</v>
      </c>
      <c r="U18">
        <f ca="1">IFERROR(INDIRECT("'" &amp; SUBSTITUTE($T$1,"'","''") &amp; "'!C42"), "")</f>
        <v>80</v>
      </c>
      <c r="V18">
        <f ca="1">IFERROR(INDIRECT("'" &amp; SUBSTITUTE($V$1,"'","''") &amp; "'!B42"), "")</f>
        <v>3.19</v>
      </c>
      <c r="W18">
        <f ca="1">IFERROR(INDIRECT("'" &amp; SUBSTITUTE($V$1,"'","''") &amp; "'!C42"), "")</f>
        <v>18</v>
      </c>
      <c r="X18">
        <f ca="1">IFERROR(INDIRECT("'" &amp; SUBSTITUTE($X$1,"'","''") &amp; "'!B42"), "")</f>
        <v>2.95</v>
      </c>
      <c r="Y18">
        <f ca="1">IFERROR(INDIRECT("'" &amp; SUBSTITUTE($X$1,"'","''") &amp; "'!C42"), "")</f>
        <v>20</v>
      </c>
    </row>
    <row r="19" spans="1:25" x14ac:dyDescent="0.2">
      <c r="A19" t="s">
        <v>17</v>
      </c>
      <c r="B19">
        <f ca="1">IFERROR(INDIRECT("'" &amp; SUBSTITUTE($B$1,"'","''") &amp; "'!B45"), "")</f>
        <v>2.96</v>
      </c>
      <c r="C19">
        <f ca="1">IFERROR(INDIRECT("'" &amp; SUBSTITUTE($B$1,"'","''") &amp; "'!C45"), "")</f>
        <v>79</v>
      </c>
      <c r="D19">
        <f ca="1">IFERROR(INDIRECT("'" &amp; SUBSTITUTE($D$1,"'","''") &amp; "'!B45"), "")</f>
        <v>2.27</v>
      </c>
      <c r="E19">
        <f ca="1">IFERROR(INDIRECT("'" &amp; SUBSTITUTE($D$1,"'","''") &amp; "'!C45"), "")</f>
        <v>64</v>
      </c>
      <c r="F19">
        <f ca="1">IFERROR(INDIRECT("'" &amp; SUBSTITUTE($F$1,"'","''") &amp; "'!B45"), "")</f>
        <v>4.2300000000000004</v>
      </c>
      <c r="G19">
        <f ca="1">IFERROR(INDIRECT("'" &amp; SUBSTITUTE($F$1,"'","''") &amp; "'!C45"), "")</f>
        <v>89</v>
      </c>
      <c r="H19">
        <f ca="1">IFERROR(INDIRECT("'" &amp; SUBSTITUTE($H$1,"'","''") &amp; "'!B45"), "")</f>
        <v>0.45</v>
      </c>
      <c r="I19">
        <f ca="1">IFERROR(INDIRECT("'" &amp; SUBSTITUTE($H$1,"'","''") &amp; "'!C45"), "")</f>
        <v>3</v>
      </c>
      <c r="J19">
        <f ca="1">IFERROR(INDIRECT("'" &amp; SUBSTITUTE($J$1,"'","''") &amp; "'!B45"), "")</f>
        <v>0.37</v>
      </c>
      <c r="K19">
        <f ca="1">IFERROR(INDIRECT("'" &amp; SUBSTITUTE($J$1,"'","''") &amp; "'!C45"), "")</f>
        <v>63</v>
      </c>
      <c r="L19">
        <f ca="1">IFERROR(INDIRECT("'" &amp; SUBSTITUTE($L$1,"'","''") &amp; "'!B45"), "")</f>
        <v>1.25</v>
      </c>
      <c r="M19">
        <f ca="1">IFERROR(INDIRECT("'" &amp; SUBSTITUTE($L$1,"'","''") &amp; "'!C45"), "")</f>
        <v>25</v>
      </c>
      <c r="N19">
        <f ca="1">IFERROR(INDIRECT("'" &amp; SUBSTITUTE($N$1,"'","''") &amp; "'!B45"), "")</f>
        <v>1.49</v>
      </c>
      <c r="O19">
        <f ca="1">IFERROR(INDIRECT("'" &amp; SUBSTITUTE($N$1,"'","''") &amp; "'!C45"), "")</f>
        <v>29</v>
      </c>
      <c r="P19">
        <f ca="1">IFERROR(INDIRECT("'" &amp; SUBSTITUTE($P$1,"'","''") &amp; "'!B45"), "")</f>
        <v>4.71</v>
      </c>
      <c r="Q19">
        <f ca="1">IFERROR(INDIRECT("'" &amp; SUBSTITUTE($P$1,"'","''") &amp; "'!C45"), "")</f>
        <v>77</v>
      </c>
      <c r="R19">
        <f ca="1">IFERROR(INDIRECT("'" &amp; SUBSTITUTE($R$1,"'","''") &amp; "'!B45"), "")</f>
        <v>1.62</v>
      </c>
      <c r="S19">
        <f ca="1">IFERROR(INDIRECT("'" &amp; SUBSTITUTE($R$1,"'","''") &amp; "'!C45"), "")</f>
        <v>43</v>
      </c>
      <c r="T19">
        <f ca="1">IFERROR(INDIRECT("'" &amp; SUBSTITUTE($T$1,"'","''") &amp; "'!B45"), "")</f>
        <v>0.54</v>
      </c>
      <c r="U19">
        <f ca="1">IFERROR(INDIRECT("'" &amp; SUBSTITUTE($T$1,"'","''") &amp; "'!C45"), "")</f>
        <v>13</v>
      </c>
      <c r="V19">
        <f ca="1">IFERROR(INDIRECT("'" &amp; SUBSTITUTE($V$1,"'","''") &amp; "'!B45"), "")</f>
        <v>1.65</v>
      </c>
      <c r="W19">
        <f ca="1">IFERROR(INDIRECT("'" &amp; SUBSTITUTE($V$1,"'","''") &amp; "'!C45"), "")</f>
        <v>34</v>
      </c>
      <c r="X19">
        <f ca="1">IFERROR(INDIRECT("'" &amp; SUBSTITUTE($X$1,"'","''") &amp; "'!B45"), "")</f>
        <v>2.08</v>
      </c>
      <c r="Y19">
        <f ca="1">IFERROR(INDIRECT("'" &amp; SUBSTITUTE($X$1,"'","''") &amp; "'!C45"), "")</f>
        <v>45</v>
      </c>
    </row>
    <row r="20" spans="1:25" x14ac:dyDescent="0.2">
      <c r="A20" t="s">
        <v>18</v>
      </c>
      <c r="B20">
        <f ca="1">IFERROR(INDIRECT("'" &amp; SUBSTITUTE($B$1,"'","''") &amp; "'!B53"), "")</f>
        <v>1.59</v>
      </c>
      <c r="C20">
        <f ca="1">IFERROR(INDIRECT("'" &amp; SUBSTITUTE($B$1,"'","''") &amp; "'!C53"), "")</f>
        <v>84</v>
      </c>
      <c r="D20">
        <f ca="1">IFERROR(INDIRECT("'" &amp; SUBSTITUTE($D$1,"'","''") &amp; "'!B53"), "")</f>
        <v>1.06</v>
      </c>
      <c r="E20">
        <f ca="1">IFERROR(INDIRECT("'" &amp; SUBSTITUTE($D$1,"'","''") &amp; "'!C53"), "")</f>
        <v>54</v>
      </c>
      <c r="F20">
        <f ca="1">IFERROR(INDIRECT("'" &amp; SUBSTITUTE($F$1,"'","''") &amp; "'!B53"), "")</f>
        <v>1.46</v>
      </c>
      <c r="G20">
        <f ca="1">IFERROR(INDIRECT("'" &amp; SUBSTITUTE($F$1,"'","''") &amp; "'!C53"), "")</f>
        <v>77</v>
      </c>
      <c r="H20">
        <f ca="1">IFERROR(INDIRECT("'" &amp; SUBSTITUTE($H$1,"'","''") &amp; "'!B53"), "")</f>
        <v>0.32</v>
      </c>
      <c r="I20">
        <f ca="1">IFERROR(INDIRECT("'" &amp; SUBSTITUTE($H$1,"'","''") &amp; "'!C53"), "")</f>
        <v>5</v>
      </c>
      <c r="J20">
        <f ca="1">IFERROR(INDIRECT("'" &amp; SUBSTITUTE($J$1,"'","''") &amp; "'!B53"), "")</f>
        <v>0.69</v>
      </c>
      <c r="K20">
        <f ca="1">IFERROR(INDIRECT("'" &amp; SUBSTITUTE($J$1,"'","''") &amp; "'!C53"), "")</f>
        <v>76</v>
      </c>
      <c r="L20">
        <f ca="1">IFERROR(INDIRECT("'" &amp; SUBSTITUTE($L$1,"'","''") &amp; "'!B53"), "")</f>
        <v>1.03</v>
      </c>
      <c r="M20">
        <f ca="1">IFERROR(INDIRECT("'" &amp; SUBSTITUTE($L$1,"'","''") &amp; "'!C53"), "")</f>
        <v>36</v>
      </c>
      <c r="N20">
        <f ca="1">IFERROR(INDIRECT("'" &amp; SUBSTITUTE($N$1,"'","''") &amp; "'!B53"), "")</f>
        <v>1.46</v>
      </c>
      <c r="O20">
        <f ca="1">IFERROR(INDIRECT("'" &amp; SUBSTITUTE($N$1,"'","''") &amp; "'!C53"), "")</f>
        <v>69</v>
      </c>
      <c r="P20">
        <f ca="1">IFERROR(INDIRECT("'" &amp; SUBSTITUTE($P$1,"'","''") &amp; "'!B53"), "")</f>
        <v>1.02</v>
      </c>
      <c r="Q20">
        <f ca="1">IFERROR(INDIRECT("'" &amp; SUBSTITUTE($P$1,"'","''") &amp; "'!C53"), "")</f>
        <v>46</v>
      </c>
      <c r="R20">
        <f ca="1">IFERROR(INDIRECT("'" &amp; SUBSTITUTE($R$1,"'","''") &amp; "'!B53"), "")</f>
        <v>0.81</v>
      </c>
      <c r="S20">
        <f ca="1">IFERROR(INDIRECT("'" &amp; SUBSTITUTE($R$1,"'","''") &amp; "'!C53"), "")</f>
        <v>30</v>
      </c>
      <c r="T20">
        <f ca="1">IFERROR(INDIRECT("'" &amp; SUBSTITUTE($T$1,"'","''") &amp; "'!B53"), "")</f>
        <v>1.88</v>
      </c>
      <c r="U20">
        <f ca="1">IFERROR(INDIRECT("'" &amp; SUBSTITUTE($T$1,"'","''") &amp; "'!C53"), "")</f>
        <v>86</v>
      </c>
      <c r="V20">
        <f ca="1">IFERROR(INDIRECT("'" &amp; SUBSTITUTE($V$1,"'","''") &amp; "'!B53"), "")</f>
        <v>1.21</v>
      </c>
      <c r="W20">
        <f ca="1">IFERROR(INDIRECT("'" &amp; SUBSTITUTE($V$1,"'","''") &amp; "'!C53"), "")</f>
        <v>47</v>
      </c>
      <c r="X20">
        <f ca="1">IFERROR(INDIRECT("'" &amp; SUBSTITUTE($X$1,"'","''") &amp; "'!B53"), "")</f>
        <v>1.06</v>
      </c>
      <c r="Y20">
        <f ca="1">IFERROR(INDIRECT("'" &amp; SUBSTITUTE($X$1,"'","''") &amp; "'!C53"), "")</f>
        <v>43</v>
      </c>
    </row>
    <row r="21" spans="1:25" x14ac:dyDescent="0.2">
      <c r="A21" t="s">
        <v>19</v>
      </c>
      <c r="B21">
        <f ca="1">IFERROR(INDIRECT("'" &amp; SUBSTITUTE($B$1,"'","''") &amp; "'!B56"), "")</f>
        <v>0.52</v>
      </c>
      <c r="C21">
        <f ca="1">IFERROR(INDIRECT("'" &amp; SUBSTITUTE($B$1,"'","''") &amp; "'!C56"), "")</f>
        <v>82</v>
      </c>
      <c r="D21">
        <f ca="1">IFERROR(INDIRECT("'" &amp; SUBSTITUTE($D$1,"'","''") &amp; "'!B56"), "")</f>
        <v>0.18</v>
      </c>
      <c r="E21">
        <f ca="1">IFERROR(INDIRECT("'" &amp; SUBSTITUTE($D$1,"'","''") &amp; "'!C56"), "")</f>
        <v>34</v>
      </c>
      <c r="F21">
        <f ca="1">IFERROR(INDIRECT("'" &amp; SUBSTITUTE($F$1,"'","''") &amp; "'!B56"), "")</f>
        <v>0.31</v>
      </c>
      <c r="G21">
        <f ca="1">IFERROR(INDIRECT("'" &amp; SUBSTITUTE($F$1,"'","''") &amp; "'!C56"), "")</f>
        <v>58</v>
      </c>
      <c r="H21">
        <f ca="1">IFERROR(INDIRECT("'" &amp; SUBSTITUTE($H$1,"'","''") &amp; "'!B56"), "")</f>
        <v>0</v>
      </c>
      <c r="I21">
        <f ca="1">IFERROR(INDIRECT("'" &amp; SUBSTITUTE($H$1,"'","''") &amp; "'!C56"), "")</f>
        <v>2</v>
      </c>
      <c r="J21">
        <f ca="1">IFERROR(INDIRECT("'" &amp; SUBSTITUTE($J$1,"'","''") &amp; "'!B56"), "")</f>
        <v>0.26</v>
      </c>
      <c r="K21">
        <f ca="1">IFERROR(INDIRECT("'" &amp; SUBSTITUTE($J$1,"'","''") &amp; "'!C56"), "")</f>
        <v>89</v>
      </c>
      <c r="L21">
        <f ca="1">IFERROR(INDIRECT("'" &amp; SUBSTITUTE($L$1,"'","''") &amp; "'!B56"), "")</f>
        <v>0.22</v>
      </c>
      <c r="M21">
        <f ca="1">IFERROR(INDIRECT("'" &amp; SUBSTITUTE($L$1,"'","''") &amp; "'!C56"), "")</f>
        <v>30</v>
      </c>
      <c r="N21">
        <f ca="1">IFERROR(INDIRECT("'" &amp; SUBSTITUTE($N$1,"'","''") &amp; "'!B56"), "")</f>
        <v>0.55000000000000004</v>
      </c>
      <c r="O21">
        <f ca="1">IFERROR(INDIRECT("'" &amp; SUBSTITUTE($N$1,"'","''") &amp; "'!C56"), "")</f>
        <v>80</v>
      </c>
      <c r="P21">
        <f ca="1">IFERROR(INDIRECT("'" &amp; SUBSTITUTE($P$1,"'","''") &amp; "'!B56"), "")</f>
        <v>0.33</v>
      </c>
      <c r="Q21">
        <f ca="1">IFERROR(INDIRECT("'" &amp; SUBSTITUTE($P$1,"'","''") &amp; "'!C56"), "")</f>
        <v>50</v>
      </c>
      <c r="R21">
        <f ca="1">IFERROR(INDIRECT("'" &amp; SUBSTITUTE($R$1,"'","''") &amp; "'!B56"), "")</f>
        <v>0.15</v>
      </c>
      <c r="S21">
        <f ca="1">IFERROR(INDIRECT("'" &amp; SUBSTITUTE($R$1,"'","''") &amp; "'!C56"), "")</f>
        <v>23</v>
      </c>
      <c r="T21">
        <f ca="1">IFERROR(INDIRECT("'" &amp; SUBSTITUTE($T$1,"'","''") &amp; "'!B56"), "")</f>
        <v>0.39</v>
      </c>
      <c r="U21">
        <f ca="1">IFERROR(INDIRECT("'" &amp; SUBSTITUTE($T$1,"'","''") &amp; "'!C56"), "")</f>
        <v>60</v>
      </c>
      <c r="V21">
        <f ca="1">IFERROR(INDIRECT("'" &amp; SUBSTITUTE($V$1,"'","''") &amp; "'!B56"), "")</f>
        <v>0.11</v>
      </c>
      <c r="W21">
        <f ca="1">IFERROR(INDIRECT("'" &amp; SUBSTITUTE($V$1,"'","''") &amp; "'!C56"), "")</f>
        <v>11</v>
      </c>
      <c r="X21">
        <f ca="1">IFERROR(INDIRECT("'" &amp; SUBSTITUTE($X$1,"'","''") &amp; "'!B56"), "")</f>
        <v>0.46</v>
      </c>
      <c r="Y21">
        <f ca="1">IFERROR(INDIRECT("'" &amp; SUBSTITUTE($X$1,"'","''") &amp; "'!C56"), "")</f>
        <v>66</v>
      </c>
    </row>
    <row r="22" spans="1:25" x14ac:dyDescent="0.2">
      <c r="A22" t="s">
        <v>20</v>
      </c>
      <c r="B22">
        <f ca="1">IFERROR(INDIRECT("'" &amp; SUBSTITUTE($B$1,"'","''") &amp; "'!B59"), "")</f>
        <v>0.32700000000000001</v>
      </c>
      <c r="C22">
        <f ca="1">IFERROR(INDIRECT("'" &amp; SUBSTITUTE($B$1,"'","''") &amp; "'!C59"), "")</f>
        <v>65</v>
      </c>
      <c r="D22">
        <f ca="1">IFERROR(INDIRECT("'" &amp; SUBSTITUTE($D$1,"'","''") &amp; "'!B59"), "")</f>
        <v>0.17100000000000001</v>
      </c>
      <c r="E22">
        <f ca="1">IFERROR(INDIRECT("'" &amp; SUBSTITUTE($D$1,"'","''") &amp; "'!C59"), "")</f>
        <v>15</v>
      </c>
      <c r="F22">
        <f ca="1">IFERROR(INDIRECT("'" &amp; SUBSTITUTE($F$1,"'","''") &amp; "'!B59"), "")</f>
        <v>0.214</v>
      </c>
      <c r="G22">
        <f ca="1">IFERROR(INDIRECT("'" &amp; SUBSTITUTE($F$1,"'","''") &amp; "'!C59"), "")</f>
        <v>27</v>
      </c>
      <c r="H22">
        <f ca="1">IFERROR(INDIRECT("'" &amp; SUBSTITUTE($H$1,"'","''") &amp; "'!B59"), "")</f>
        <v>0</v>
      </c>
      <c r="I22">
        <f ca="1">IFERROR(INDIRECT("'" &amp; SUBSTITUTE($H$1,"'","''") &amp; "'!C59"), "")</f>
        <v>2</v>
      </c>
      <c r="J22">
        <f ca="1">IFERROR(INDIRECT("'" &amp; SUBSTITUTE($J$1,"'","''") &amp; "'!B59"), "")</f>
        <v>0.375</v>
      </c>
      <c r="K22">
        <f ca="1">IFERROR(INDIRECT("'" &amp; SUBSTITUTE($J$1,"'","''") &amp; "'!C59"), "")</f>
        <v>76</v>
      </c>
      <c r="L22">
        <f ca="1">IFERROR(INDIRECT("'" &amp; SUBSTITUTE($L$1,"'","''") &amp; "'!B59"), "")</f>
        <v>0.214</v>
      </c>
      <c r="M22">
        <f ca="1">IFERROR(INDIRECT("'" &amp; SUBSTITUTE($L$1,"'","''") &amp; "'!C59"), "")</f>
        <v>20</v>
      </c>
      <c r="N22">
        <f ca="1">IFERROR(INDIRECT("'" &amp; SUBSTITUTE($N$1,"'","''") &amp; "'!B59"), "")</f>
        <v>0.375</v>
      </c>
      <c r="O22">
        <f ca="1">IFERROR(INDIRECT("'" &amp; SUBSTITUTE($N$1,"'","''") &amp; "'!C59"), "")</f>
        <v>81</v>
      </c>
      <c r="P22">
        <f ca="1">IFERROR(INDIRECT("'" &amp; SUBSTITUTE($P$1,"'","''") &amp; "'!B59"), "")</f>
        <v>0.32100000000000001</v>
      </c>
      <c r="Q22">
        <f ca="1">IFERROR(INDIRECT("'" &amp; SUBSTITUTE($P$1,"'","''") &amp; "'!C59"), "")</f>
        <v>55</v>
      </c>
      <c r="R22">
        <f ca="1">IFERROR(INDIRECT("'" &amp; SUBSTITUTE($R$1,"'","''") &amp; "'!B59"), "")</f>
        <v>0.188</v>
      </c>
      <c r="S22">
        <f ca="1">IFERROR(INDIRECT("'" &amp; SUBSTITUTE($R$1,"'","''") &amp; "'!C59"), "")</f>
        <v>18</v>
      </c>
      <c r="T22">
        <f ca="1">IFERROR(INDIRECT("'" &amp; SUBSTITUTE($T$1,"'","''") &amp; "'!B59"), "")</f>
        <v>0.20599999999999999</v>
      </c>
      <c r="U22">
        <f ca="1">IFERROR(INDIRECT("'" &amp; SUBSTITUTE($T$1,"'","''") &amp; "'!C59"), "")</f>
        <v>23</v>
      </c>
      <c r="V22">
        <f ca="1">IFERROR(INDIRECT("'" &amp; SUBSTITUTE($V$1,"'","''") &amp; "'!B59"), "")</f>
        <v>9.0999999999999998E-2</v>
      </c>
      <c r="W22">
        <f ca="1">IFERROR(INDIRECT("'" &amp; SUBSTITUTE($V$1,"'","''") &amp; "'!C59"), "")</f>
        <v>5</v>
      </c>
      <c r="X22">
        <f ca="1">IFERROR(INDIRECT("'" &amp; SUBSTITUTE($X$1,"'","''") &amp; "'!B59"), "")</f>
        <v>0.435</v>
      </c>
      <c r="Y22">
        <f ca="1">IFERROR(INDIRECT("'" &amp; SUBSTITUTE($X$1,"'","''") &amp; "'!C59"), "")</f>
        <v>90</v>
      </c>
    </row>
    <row r="23" spans="1:25" x14ac:dyDescent="0.2">
      <c r="A23" t="s">
        <v>21</v>
      </c>
      <c r="B23">
        <f ca="1">IFERROR(INDIRECT("'" &amp; SUBSTITUTE($B$1,"'","''") &amp; "'!B62"), "")</f>
        <v>0.08</v>
      </c>
      <c r="C23">
        <f ca="1">IFERROR(INDIRECT("'" &amp; SUBSTITUTE($B$1,"'","''") &amp; "'!C62"), "")</f>
        <v>56</v>
      </c>
      <c r="D23">
        <f ca="1">IFERROR(INDIRECT("'" &amp; SUBSTITUTE($D$1,"'","''") &amp; "'!B62"), "")</f>
        <v>0.06</v>
      </c>
      <c r="E23">
        <f ca="1">IFERROR(INDIRECT("'" &amp; SUBSTITUTE($D$1,"'","''") &amp; "'!C62"), "")</f>
        <v>43</v>
      </c>
      <c r="F23">
        <f ca="1">IFERROR(INDIRECT("'" &amp; SUBSTITUTE($F$1,"'","''") &amp; "'!B62"), "")</f>
        <v>0.04</v>
      </c>
      <c r="G23">
        <f ca="1">IFERROR(INDIRECT("'" &amp; SUBSTITUTE($F$1,"'","''") &amp; "'!C62"), "")</f>
        <v>31</v>
      </c>
      <c r="H23">
        <f ca="1">IFERROR(INDIRECT("'" &amp; SUBSTITUTE($H$1,"'","''") &amp; "'!B62"), "")</f>
        <v>0</v>
      </c>
      <c r="I23">
        <f ca="1">IFERROR(INDIRECT("'" &amp; SUBSTITUTE($H$1,"'","''") &amp; "'!C62"), "")</f>
        <v>11</v>
      </c>
      <c r="J23">
        <f ca="1">IFERROR(INDIRECT("'" &amp; SUBSTITUTE($J$1,"'","''") &amp; "'!B62"), "")</f>
        <v>0.13</v>
      </c>
      <c r="K23">
        <f ca="1">IFERROR(INDIRECT("'" &amp; SUBSTITUTE($J$1,"'","''") &amp; "'!C62"), "")</f>
        <v>74</v>
      </c>
      <c r="L23">
        <f ca="1">IFERROR(INDIRECT("'" &amp; SUBSTITUTE($L$1,"'","''") &amp; "'!B62"), "")</f>
        <v>0</v>
      </c>
      <c r="M23">
        <f ca="1">IFERROR(INDIRECT("'" &amp; SUBSTITUTE($L$1,"'","''") &amp; "'!C62"), "")</f>
        <v>14</v>
      </c>
      <c r="N23">
        <f ca="1">IFERROR(INDIRECT("'" &amp; SUBSTITUTE($N$1,"'","''") &amp; "'!B62"), "")</f>
        <v>0.08</v>
      </c>
      <c r="O23">
        <f ca="1">IFERROR(INDIRECT("'" &amp; SUBSTITUTE($N$1,"'","''") &amp; "'!C62"), "")</f>
        <v>60</v>
      </c>
      <c r="P23">
        <f ca="1">IFERROR(INDIRECT("'" &amp; SUBSTITUTE($P$1,"'","''") &amp; "'!B62"), "")</f>
        <v>0.04</v>
      </c>
      <c r="Q23">
        <f ca="1">IFERROR(INDIRECT("'" &amp; SUBSTITUTE($P$1,"'","''") &amp; "'!C62"), "")</f>
        <v>42</v>
      </c>
      <c r="R23">
        <f ca="1">IFERROR(INDIRECT("'" &amp; SUBSTITUTE($R$1,"'","''") &amp; "'!B62"), "")</f>
        <v>0</v>
      </c>
      <c r="S23">
        <f ca="1">IFERROR(INDIRECT("'" &amp; SUBSTITUTE($R$1,"'","''") &amp; "'!C62"), "")</f>
        <v>16</v>
      </c>
      <c r="T23">
        <f ca="1">IFERROR(INDIRECT("'" &amp; SUBSTITUTE($T$1,"'","''") &amp; "'!B62"), "")</f>
        <v>0.05</v>
      </c>
      <c r="U23">
        <f ca="1">IFERROR(INDIRECT("'" &amp; SUBSTITUTE($T$1,"'","''") &amp; "'!C62"), "")</f>
        <v>47</v>
      </c>
      <c r="V23">
        <f ca="1">IFERROR(INDIRECT("'" &amp; SUBSTITUTE($V$1,"'","''") &amp; "'!B62"), "")</f>
        <v>0</v>
      </c>
      <c r="W23">
        <f ca="1">IFERROR(INDIRECT("'" &amp; SUBSTITUTE($V$1,"'","''") &amp; "'!C62"), "")</f>
        <v>14</v>
      </c>
      <c r="X23">
        <f ca="1">IFERROR(INDIRECT("'" &amp; SUBSTITUTE($X$1,"'","''") &amp; "'!B62"), "")</f>
        <v>0.09</v>
      </c>
      <c r="Y23">
        <f ca="1">IFERROR(INDIRECT("'" &amp; SUBSTITUTE($X$1,"'","''") &amp; "'!C62"), "")</f>
        <v>68</v>
      </c>
    </row>
    <row r="24" spans="1:25" x14ac:dyDescent="0.2">
      <c r="A24" t="s">
        <v>22</v>
      </c>
      <c r="B24">
        <f ca="1">IFERROR(INDIRECT("'" &amp; SUBSTITUTE($B$1,"'","''") &amp; "'!B65"), "")</f>
        <v>0.25</v>
      </c>
      <c r="C24">
        <f ca="1">IFERROR(INDIRECT("'" &amp; SUBSTITUTE($B$1,"'","''") &amp; "'!C65"), "")</f>
        <v>49</v>
      </c>
      <c r="D24">
        <f ca="1">IFERROR(INDIRECT("'" &amp; SUBSTITUTE($D$1,"'","''") &amp; "'!B65"), "")</f>
        <v>0.33</v>
      </c>
      <c r="E24">
        <f ca="1">IFERROR(INDIRECT("'" &amp; SUBSTITUTE($D$1,"'","''") &amp; "'!C65"), "")</f>
        <v>69</v>
      </c>
      <c r="F24">
        <f ca="1">IFERROR(INDIRECT("'" &amp; SUBSTITUTE($F$1,"'","''") &amp; "'!B65"), "")</f>
        <v>0.17</v>
      </c>
      <c r="G24">
        <f ca="1">IFERROR(INDIRECT("'" &amp; SUBSTITUTE($F$1,"'","''") &amp; "'!C65"), "")</f>
        <v>30</v>
      </c>
      <c r="H24">
        <f ca="1">IFERROR(INDIRECT("'" &amp; SUBSTITUTE($H$1,"'","''") &amp; "'!B65"), "")</f>
        <v>0</v>
      </c>
      <c r="I24">
        <f ca="1">IFERROR(INDIRECT("'" &amp; SUBSTITUTE($H$1,"'","''") &amp; "'!C65"), "")</f>
        <v>0</v>
      </c>
      <c r="J24">
        <f ca="1">IFERROR(INDIRECT("'" &amp; SUBSTITUTE($J$1,"'","''") &amp; "'!B65"), "")</f>
        <v>0.33</v>
      </c>
      <c r="K24">
        <f ca="1">IFERROR(INDIRECT("'" &amp; SUBSTITUTE($J$1,"'","''") &amp; "'!C65"), "")</f>
        <v>57</v>
      </c>
      <c r="L24">
        <f ca="1">IFERROR(INDIRECT("'" &amp; SUBSTITUTE($L$1,"'","''") &amp; "'!B65"), "")</f>
        <v>0</v>
      </c>
      <c r="M24">
        <f ca="1">IFERROR(INDIRECT("'" &amp; SUBSTITUTE($L$1,"'","''") &amp; "'!C65"), "")</f>
        <v>14</v>
      </c>
      <c r="N24">
        <f ca="1">IFERROR(INDIRECT("'" &amp; SUBSTITUTE($N$1,"'","''") &amp; "'!B65"), "")</f>
        <v>0.22</v>
      </c>
      <c r="O24">
        <f ca="1">IFERROR(INDIRECT("'" &amp; SUBSTITUTE($N$1,"'","''") &amp; "'!C65"), "")</f>
        <v>45</v>
      </c>
      <c r="P24">
        <f ca="1">IFERROR(INDIRECT("'" &amp; SUBSTITUTE($P$1,"'","''") &amp; "'!B65"), "")</f>
        <v>0.11</v>
      </c>
      <c r="Q24">
        <f ca="1">IFERROR(INDIRECT("'" &amp; SUBSTITUTE($P$1,"'","''") &amp; "'!C65"), "")</f>
        <v>35</v>
      </c>
      <c r="R24">
        <f ca="1">IFERROR(INDIRECT("'" &amp; SUBSTITUTE($R$1,"'","''") &amp; "'!B65"), "")</f>
        <v>0</v>
      </c>
      <c r="S24">
        <f ca="1">IFERROR(INDIRECT("'" &amp; SUBSTITUTE($R$1,"'","''") &amp; "'!C65"), "")</f>
        <v>16</v>
      </c>
      <c r="T24">
        <f ca="1">IFERROR(INDIRECT("'" &amp; SUBSTITUTE($T$1,"'","''") &amp; "'!B65"), "")</f>
        <v>0.23</v>
      </c>
      <c r="U24">
        <f ca="1">IFERROR(INDIRECT("'" &amp; SUBSTITUTE($T$1,"'","''") &amp; "'!C65"), "")</f>
        <v>50</v>
      </c>
      <c r="V24">
        <f ca="1">IFERROR(INDIRECT("'" &amp; SUBSTITUTE($V$1,"'","''") &amp; "'!B65"), "")</f>
        <v>0</v>
      </c>
      <c r="W24">
        <f ca="1">IFERROR(INDIRECT("'" &amp; SUBSTITUTE($V$1,"'","''") &amp; "'!C65"), "")</f>
        <v>14</v>
      </c>
      <c r="X24">
        <f ca="1">IFERROR(INDIRECT("'" &amp; SUBSTITUTE($X$1,"'","''") &amp; "'!B65"), "")</f>
        <v>0.2</v>
      </c>
      <c r="Y24">
        <f ca="1">IFERROR(INDIRECT("'" &amp; SUBSTITUTE($X$1,"'","''") &amp; "'!C65"), "")</f>
        <v>48</v>
      </c>
    </row>
    <row r="25" spans="1:25" x14ac:dyDescent="0.2">
      <c r="A25" t="s">
        <v>23</v>
      </c>
      <c r="B25">
        <f ca="1">IFERROR(INDIRECT("'" &amp; SUBSTITUTE($B$1,"'","''") &amp; "'!B68"), "")</f>
        <v>14.7</v>
      </c>
      <c r="C25">
        <f ca="1">IFERROR(INDIRECT("'" &amp; SUBSTITUTE($B$1,"'","''") &amp; "'!C68"), "")</f>
        <v>90</v>
      </c>
      <c r="D25">
        <f ca="1">IFERROR(INDIRECT("'" &amp; SUBSTITUTE($D$1,"'","''") &amp; "'!B68"), "")</f>
        <v>18.8</v>
      </c>
      <c r="E25">
        <f ca="1">IFERROR(INDIRECT("'" &amp; SUBSTITUTE($D$1,"'","''") &amp; "'!C68"), "")</f>
        <v>64</v>
      </c>
      <c r="F25">
        <f ca="1">IFERROR(INDIRECT("'" &amp; SUBSTITUTE($F$1,"'","''") &amp; "'!B68"), "")</f>
        <v>22</v>
      </c>
      <c r="G25">
        <f ca="1">IFERROR(INDIRECT("'" &amp; SUBSTITUTE($F$1,"'","''") &amp; "'!C68"), "")</f>
        <v>31</v>
      </c>
      <c r="H25">
        <f ca="1">IFERROR(INDIRECT("'" &amp; SUBSTITUTE($H$1,"'","''") &amp; "'!B68"), "")</f>
        <v>27.1</v>
      </c>
      <c r="I25">
        <f ca="1">IFERROR(INDIRECT("'" &amp; SUBSTITUTE($H$1,"'","''") &amp; "'!C68"), "")</f>
        <v>5</v>
      </c>
      <c r="J25">
        <f ca="1">IFERROR(INDIRECT("'" &amp; SUBSTITUTE($J$1,"'","''") &amp; "'!B68"), "")</f>
        <v>15</v>
      </c>
      <c r="K25">
        <f ca="1">IFERROR(INDIRECT("'" &amp; SUBSTITUTE($J$1,"'","''") &amp; "'!C68"), "")</f>
        <v>30</v>
      </c>
      <c r="L25">
        <f ca="1">IFERROR(INDIRECT("'" &amp; SUBSTITUTE($L$1,"'","''") &amp; "'!B68"), "")</f>
        <v>26.2</v>
      </c>
      <c r="M25">
        <f ca="1">IFERROR(INDIRECT("'" &amp; SUBSTITUTE($L$1,"'","''") &amp; "'!C68"), "")</f>
        <v>6</v>
      </c>
      <c r="N25">
        <f ca="1">IFERROR(INDIRECT("'" &amp; SUBSTITUTE($N$1,"'","''") &amp; "'!B68"), "")</f>
        <v>16.600000000000001</v>
      </c>
      <c r="O25">
        <f ca="1">IFERROR(INDIRECT("'" &amp; SUBSTITUTE($N$1,"'","''") &amp; "'!C68"), "")</f>
        <v>82</v>
      </c>
      <c r="P25">
        <f ca="1">IFERROR(INDIRECT("'" &amp; SUBSTITUTE($P$1,"'","''") &amp; "'!B68"), "")</f>
        <v>17.600000000000001</v>
      </c>
      <c r="Q25">
        <f ca="1">IFERROR(INDIRECT("'" &amp; SUBSTITUTE($P$1,"'","''") &amp; "'!C68"), "")</f>
        <v>71</v>
      </c>
      <c r="R25">
        <f ca="1">IFERROR(INDIRECT("'" &amp; SUBSTITUTE($R$1,"'","''") &amp; "'!B68"), "")</f>
        <v>18.399999999999999</v>
      </c>
      <c r="S25">
        <f ca="1">IFERROR(INDIRECT("'" &amp; SUBSTITUTE($R$1,"'","''") &amp; "'!C68"), "")</f>
        <v>62</v>
      </c>
      <c r="T25">
        <f ca="1">IFERROR(INDIRECT("'" &amp; SUBSTITUTE($T$1,"'","''") &amp; "'!B68"), "")</f>
        <v>26.7</v>
      </c>
      <c r="U25">
        <f ca="1">IFERROR(INDIRECT("'" &amp; SUBSTITUTE($T$1,"'","''") &amp; "'!C68"), "")</f>
        <v>10</v>
      </c>
      <c r="V25">
        <f ca="1">IFERROR(INDIRECT("'" &amp; SUBSTITUTE($V$1,"'","''") &amp; "'!B68"), "")</f>
        <v>27.9</v>
      </c>
      <c r="W25">
        <f ca="1">IFERROR(INDIRECT("'" &amp; SUBSTITUTE($V$1,"'","''") &amp; "'!C68"), "")</f>
        <v>2</v>
      </c>
      <c r="X25">
        <f ca="1">IFERROR(INDIRECT("'" &amp; SUBSTITUTE($X$1,"'","''") &amp; "'!B68"), "")</f>
        <v>16.100000000000001</v>
      </c>
      <c r="Y25">
        <f ca="1">IFERROR(INDIRECT("'" &amp; SUBSTITUTE($X$1,"'","''") &amp; "'!C68"), "")</f>
        <v>90</v>
      </c>
    </row>
    <row r="26" spans="1:25" x14ac:dyDescent="0.2">
      <c r="A26" t="s">
        <v>24</v>
      </c>
      <c r="B26">
        <f ca="1">IFERROR(INDIRECT("'" &amp; SUBSTITUTE($B$1,"'","''") &amp; "'!B71"), "")</f>
        <v>0</v>
      </c>
      <c r="C26">
        <f ca="1">IFERROR(INDIRECT("'" &amp; SUBSTITUTE($B$1,"'","''") &amp; "'!C71"), "")</f>
        <v>34</v>
      </c>
      <c r="D26">
        <f ca="1">IFERROR(INDIRECT("'" &amp; SUBSTITUTE($D$1,"'","''") &amp; "'!B71"), "")</f>
        <v>0</v>
      </c>
      <c r="E26">
        <f ca="1">IFERROR(INDIRECT("'" &amp; SUBSTITUTE($D$1,"'","''") &amp; "'!C71"), "")</f>
        <v>34</v>
      </c>
      <c r="F26">
        <f ca="1">IFERROR(INDIRECT("'" &amp; SUBSTITUTE($F$1,"'","''") &amp; "'!B71"), "")</f>
        <v>0.1</v>
      </c>
      <c r="G26">
        <f ca="1">IFERROR(INDIRECT("'" &amp; SUBSTITUTE($F$1,"'","''") &amp; "'!C71"), "")</f>
        <v>87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34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44</v>
      </c>
      <c r="L26">
        <f ca="1">IFERROR(INDIRECT("'" &amp; SUBSTITUTE($L$1,"'","''") &amp; "'!B71"), "")</f>
        <v>0.15</v>
      </c>
      <c r="M26">
        <f ca="1">IFERROR(INDIRECT("'" &amp; SUBSTITUTE($L$1,"'","''") &amp; "'!C71"), "")</f>
        <v>86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33</v>
      </c>
      <c r="P26">
        <f ca="1">IFERROR(INDIRECT("'" &amp; SUBSTITUTE($P$1,"'","''") &amp; "'!B71"), "")</f>
        <v>0.04</v>
      </c>
      <c r="Q26">
        <f ca="1">IFERROR(INDIRECT("'" &amp; SUBSTITUTE($P$1,"'","''") &amp; "'!C71"), "")</f>
        <v>73</v>
      </c>
      <c r="R26">
        <f ca="1">IFERROR(INDIRECT("'" &amp; SUBSTITUTE($R$1,"'","''") &amp; "'!B71"), "")</f>
        <v>0.15</v>
      </c>
      <c r="S26">
        <f ca="1">IFERROR(INDIRECT("'" &amp; SUBSTITUTE($R$1,"'","''") &amp; "'!C71"), "")</f>
        <v>86</v>
      </c>
      <c r="T26">
        <f ca="1">IFERROR(INDIRECT("'" &amp; SUBSTITUTE($T$1,"'","''") &amp; "'!B71"), "")</f>
        <v>0.33</v>
      </c>
      <c r="U26">
        <f ca="1">IFERROR(INDIRECT("'" &amp; SUBSTITUTE($T$1,"'","''") &amp; "'!C71"), "")</f>
        <v>97</v>
      </c>
      <c r="V26">
        <f ca="1">IFERROR(INDIRECT("'" &amp; SUBSTITUTE($V$1,"'","''") &amp; "'!B71"), "")</f>
        <v>0</v>
      </c>
      <c r="W26">
        <f ca="1">IFERROR(INDIRECT("'" &amp; SUBSTITUTE($V$1,"'","''") &amp; "'!C71"), "")</f>
        <v>33</v>
      </c>
      <c r="X26">
        <f ca="1">IFERROR(INDIRECT("'" &amp; SUBSTITUTE($X$1,"'","''") &amp; "'!B71"), "")</f>
        <v>0</v>
      </c>
      <c r="Y26">
        <f ca="1">IFERROR(INDIRECT("'" &amp; SUBSTITUTE($X$1,"'","''") &amp; "'!C71"), "")</f>
        <v>32</v>
      </c>
    </row>
    <row r="27" spans="1:25" x14ac:dyDescent="0.2">
      <c r="A27" t="s">
        <v>25</v>
      </c>
      <c r="B27">
        <f ca="1">IFERROR(INDIRECT("'" &amp; SUBSTITUTE($B$1,"'","''") &amp; "'!B87"), "")</f>
        <v>0.12</v>
      </c>
      <c r="C27">
        <f ca="1">IFERROR(INDIRECT("'" &amp; SUBSTITUTE($B$1,"'","''") &amp; "'!C87"), "")</f>
        <v>89</v>
      </c>
      <c r="D27">
        <f ca="1">IFERROR(INDIRECT("'" &amp; SUBSTITUTE($D$1,"'","''") &amp; "'!B87"), "")</f>
        <v>0.08</v>
      </c>
      <c r="E27">
        <f ca="1">IFERROR(INDIRECT("'" &amp; SUBSTITUTE($D$1,"'","''") &amp; "'!C87"), "")</f>
        <v>61</v>
      </c>
      <c r="F27">
        <f ca="1">IFERROR(INDIRECT("'" &amp; SUBSTITUTE($F$1,"'","''") &amp; "'!B87"), "")</f>
        <v>0.06</v>
      </c>
      <c r="G27">
        <f ca="1">IFERROR(INDIRECT("'" &amp; SUBSTITUTE($F$1,"'","''") &amp; "'!C87"), "")</f>
        <v>36</v>
      </c>
      <c r="H27">
        <f ca="1">IFERROR(INDIRECT("'" &amp; SUBSTITUTE($H$1,"'","''") &amp; "'!B87"), "")</f>
        <v>0.04</v>
      </c>
      <c r="I27">
        <f ca="1">IFERROR(INDIRECT("'" &amp; SUBSTITUTE($H$1,"'","''") &amp; "'!C87"), "")</f>
        <v>10</v>
      </c>
      <c r="J27">
        <f ca="1">IFERROR(INDIRECT("'" &amp; SUBSTITUTE($J$1,"'","''") &amp; "'!B87"), "")</f>
        <v>0.1</v>
      </c>
      <c r="K27">
        <f ca="1">IFERROR(INDIRECT("'" &amp; SUBSTITUTE($J$1,"'","''") &amp; "'!C87"), "")</f>
        <v>59</v>
      </c>
      <c r="L27">
        <f ca="1">IFERROR(INDIRECT("'" &amp; SUBSTITUTE($L$1,"'","''") &amp; "'!B87"), "")</f>
        <v>0.03</v>
      </c>
      <c r="M27">
        <f ca="1">IFERROR(INDIRECT("'" &amp; SUBSTITUTE($L$1,"'","''") &amp; "'!C87"), "")</f>
        <v>6</v>
      </c>
      <c r="N27">
        <f ca="1">IFERROR(INDIRECT("'" &amp; SUBSTITUTE($N$1,"'","''") &amp; "'!B87"), "")</f>
        <v>0.1</v>
      </c>
      <c r="O27">
        <f ca="1">IFERROR(INDIRECT("'" &amp; SUBSTITUTE($N$1,"'","''") &amp; "'!C87"), "")</f>
        <v>76</v>
      </c>
      <c r="P27">
        <f ca="1">IFERROR(INDIRECT("'" &amp; SUBSTITUTE($P$1,"'","''") &amp; "'!B87"), "")</f>
        <v>0.09</v>
      </c>
      <c r="Q27">
        <f ca="1">IFERROR(INDIRECT("'" &amp; SUBSTITUTE($P$1,"'","''") &amp; "'!C87"), "")</f>
        <v>64</v>
      </c>
      <c r="R27">
        <f ca="1">IFERROR(INDIRECT("'" &amp; SUBSTITUTE($R$1,"'","''") &amp; "'!B87"), "")</f>
        <v>0.08</v>
      </c>
      <c r="S27">
        <f ca="1">IFERROR(INDIRECT("'" &amp; SUBSTITUTE($R$1,"'","''") &amp; "'!C87"), "")</f>
        <v>50</v>
      </c>
      <c r="T27">
        <f ca="1">IFERROR(INDIRECT("'" &amp; SUBSTITUTE($T$1,"'","''") &amp; "'!B87"), "")</f>
        <v>0.04</v>
      </c>
      <c r="U27">
        <f ca="1">IFERROR(INDIRECT("'" &amp; SUBSTITUTE($T$1,"'","''") &amp; "'!C87"), "")</f>
        <v>13</v>
      </c>
      <c r="V27">
        <f ca="1">IFERROR(INDIRECT("'" &amp; SUBSTITUTE($V$1,"'","''") &amp; "'!B87"), "")</f>
        <v>0.03</v>
      </c>
      <c r="W27">
        <f ca="1">IFERROR(INDIRECT("'" &amp; SUBSTITUTE($V$1,"'","''") &amp; "'!C87"), "")</f>
        <v>6</v>
      </c>
      <c r="X27">
        <f ca="1">IFERROR(INDIRECT("'" &amp; SUBSTITUTE($X$1,"'","''") &amp; "'!B87"), "")</f>
        <v>0.1</v>
      </c>
      <c r="Y27">
        <f ca="1">IFERROR(INDIRECT("'" &amp; SUBSTITUTE($X$1,"'","''") &amp; "'!C87"), "")</f>
        <v>82</v>
      </c>
    </row>
    <row r="28" spans="1:25" x14ac:dyDescent="0.2">
      <c r="A28" t="s">
        <v>26</v>
      </c>
      <c r="B28">
        <f ca="1">IFERROR(INDIRECT("'" &amp; SUBSTITUTE($B$1,"'","''") &amp; "'!B90"), "")</f>
        <v>-0.06</v>
      </c>
      <c r="C28">
        <f ca="1">IFERROR(INDIRECT("'" &amp; SUBSTITUTE($B$1,"'","''") &amp; "'!C90"), "")</f>
        <v>7</v>
      </c>
      <c r="D28">
        <f ca="1">IFERROR(INDIRECT("'" &amp; SUBSTITUTE($D$1,"'","''") &amp; "'!B90"), "")</f>
        <v>-0.02</v>
      </c>
      <c r="E28">
        <f ca="1">IFERROR(INDIRECT("'" &amp; SUBSTITUTE($D$1,"'","''") &amp; "'!C90"), "")</f>
        <v>29</v>
      </c>
      <c r="F28">
        <f ca="1">IFERROR(INDIRECT("'" &amp; SUBSTITUTE($F$1,"'","''") &amp; "'!B90"), "")</f>
        <v>-0.03</v>
      </c>
      <c r="G28">
        <f ca="1">IFERROR(INDIRECT("'" &amp; SUBSTITUTE($F$1,"'","''") &amp; "'!C90"), "")</f>
        <v>23</v>
      </c>
      <c r="H28">
        <f ca="1">IFERROR(INDIRECT("'" &amp; SUBSTITUTE($H$1,"'","''") &amp; "'!B90"), "")</f>
        <v>-0.01</v>
      </c>
      <c r="I28">
        <f ca="1">IFERROR(INDIRECT("'" &amp; SUBSTITUTE($H$1,"'","''") &amp; "'!C90"), "")</f>
        <v>41</v>
      </c>
      <c r="J28">
        <f ca="1">IFERROR(INDIRECT("'" &amp; SUBSTITUTE($J$1,"'","''") &amp; "'!B90"), "")</f>
        <v>0.02</v>
      </c>
      <c r="K28">
        <f ca="1">IFERROR(INDIRECT("'" &amp; SUBSTITUTE($J$1,"'","''") &amp; "'!C90"), "")</f>
        <v>77</v>
      </c>
      <c r="L28">
        <f ca="1">IFERROR(INDIRECT("'" &amp; SUBSTITUTE($L$1,"'","''") &amp; "'!B90"), "")</f>
        <v>-0.03</v>
      </c>
      <c r="M28">
        <f ca="1">IFERROR(INDIRECT("'" &amp; SUBSTITUTE($L$1,"'","''") &amp; "'!C90"), "")</f>
        <v>36</v>
      </c>
      <c r="N28">
        <f ca="1">IFERROR(INDIRECT("'" &amp; SUBSTITUTE($N$1,"'","''") &amp; "'!B90"), "")</f>
        <v>-0.02</v>
      </c>
      <c r="O28">
        <f ca="1">IFERROR(INDIRECT("'" &amp; SUBSTITUTE($N$1,"'","''") &amp; "'!C90"), "")</f>
        <v>45</v>
      </c>
      <c r="P28">
        <f ca="1">IFERROR(INDIRECT("'" &amp; SUBSTITUTE($P$1,"'","''") &amp; "'!B90"), "")</f>
        <v>-0.05</v>
      </c>
      <c r="Q28">
        <f ca="1">IFERROR(INDIRECT("'" &amp; SUBSTITUTE($P$1,"'","''") &amp; "'!C90"), "")</f>
        <v>22</v>
      </c>
      <c r="R28">
        <f ca="1">IFERROR(INDIRECT("'" &amp; SUBSTITUTE($R$1,"'","''") &amp; "'!B90"), "")</f>
        <v>-7.0000000000000007E-2</v>
      </c>
      <c r="S28">
        <f ca="1">IFERROR(INDIRECT("'" &amp; SUBSTITUTE($R$1,"'","''") &amp; "'!C90"), "")</f>
        <v>16</v>
      </c>
      <c r="T28">
        <f ca="1">IFERROR(INDIRECT("'" &amp; SUBSTITUTE($T$1,"'","''") &amp; "'!B90"), "")</f>
        <v>0.02</v>
      </c>
      <c r="U28">
        <f ca="1">IFERROR(INDIRECT("'" &amp; SUBSTITUTE($T$1,"'","''") &amp; "'!C90"), "")</f>
        <v>62</v>
      </c>
      <c r="V28">
        <f ca="1">IFERROR(INDIRECT("'" &amp; SUBSTITUTE($V$1,"'","''") &amp; "'!B90"), "")</f>
        <v>-0.03</v>
      </c>
      <c r="W28">
        <f ca="1">IFERROR(INDIRECT("'" &amp; SUBSTITUTE($V$1,"'","''") &amp; "'!C90"), "")</f>
        <v>34</v>
      </c>
      <c r="X28">
        <f ca="1">IFERROR(INDIRECT("'" &amp; SUBSTITUTE($X$1,"'","''") &amp; "'!B90"), "")</f>
        <v>-0.01</v>
      </c>
      <c r="Y28">
        <f ca="1">IFERROR(INDIRECT("'" &amp; SUBSTITUTE($X$1,"'","''") &amp; "'!C90"), "")</f>
        <v>50</v>
      </c>
    </row>
    <row r="29" spans="1:25" x14ac:dyDescent="0.2">
      <c r="A29" t="s">
        <v>27</v>
      </c>
      <c r="B29">
        <f ca="1">IFERROR(INDIRECT("'" &amp; SUBSTITUTE($B$1,"'","''") &amp; "'!B93"), "")</f>
        <v>-0.06</v>
      </c>
      <c r="C29">
        <f ca="1">IFERROR(INDIRECT("'" &amp; SUBSTITUTE($B$1,"'","''") &amp; "'!C93"), "")</f>
        <v>7</v>
      </c>
      <c r="D29">
        <f ca="1">IFERROR(INDIRECT("'" &amp; SUBSTITUTE($D$1,"'","''") &amp; "'!B93"), "")</f>
        <v>-0.02</v>
      </c>
      <c r="E29">
        <f ca="1">IFERROR(INDIRECT("'" &amp; SUBSTITUTE($D$1,"'","''") &amp; "'!C93"), "")</f>
        <v>28</v>
      </c>
      <c r="F29">
        <f ca="1">IFERROR(INDIRECT("'" &amp; SUBSTITUTE($F$1,"'","''") &amp; "'!B93"), "")</f>
        <v>-0.03</v>
      </c>
      <c r="G29">
        <f ca="1">IFERROR(INDIRECT("'" &amp; SUBSTITUTE($F$1,"'","''") &amp; "'!C93"), "")</f>
        <v>22</v>
      </c>
      <c r="H29">
        <f ca="1">IFERROR(INDIRECT("'" &amp; SUBSTITUTE($H$1,"'","''") &amp; "'!B93"), "")</f>
        <v>-0.01</v>
      </c>
      <c r="I29">
        <f ca="1">IFERROR(INDIRECT("'" &amp; SUBSTITUTE($H$1,"'","''") &amp; "'!C93"), "")</f>
        <v>40</v>
      </c>
      <c r="J29">
        <f ca="1">IFERROR(INDIRECT("'" &amp; SUBSTITUTE($J$1,"'","''") &amp; "'!B93"), "")</f>
        <v>0.02</v>
      </c>
      <c r="K29">
        <f ca="1">IFERROR(INDIRECT("'" &amp; SUBSTITUTE($J$1,"'","''") &amp; "'!C93"), "")</f>
        <v>77</v>
      </c>
      <c r="L29">
        <f ca="1">IFERROR(INDIRECT("'" &amp; SUBSTITUTE($L$1,"'","''") &amp; "'!B93"), "")</f>
        <v>-0.03</v>
      </c>
      <c r="M29">
        <f ca="1">IFERROR(INDIRECT("'" &amp; SUBSTITUTE($L$1,"'","''") &amp; "'!C93"), "")</f>
        <v>36</v>
      </c>
      <c r="N29">
        <f ca="1">IFERROR(INDIRECT("'" &amp; SUBSTITUTE($N$1,"'","''") &amp; "'!B93"), "")</f>
        <v>-0.02</v>
      </c>
      <c r="O29">
        <f ca="1">IFERROR(INDIRECT("'" &amp; SUBSTITUTE($N$1,"'","''") &amp; "'!C93"), "")</f>
        <v>46</v>
      </c>
      <c r="P29">
        <f ca="1">IFERROR(INDIRECT("'" &amp; SUBSTITUTE($P$1,"'","''") &amp; "'!B93"), "")</f>
        <v>-0.05</v>
      </c>
      <c r="Q29">
        <f ca="1">IFERROR(INDIRECT("'" &amp; SUBSTITUTE($P$1,"'","''") &amp; "'!C93"), "")</f>
        <v>22</v>
      </c>
      <c r="R29">
        <f ca="1">IFERROR(INDIRECT("'" &amp; SUBSTITUTE($R$1,"'","''") &amp; "'!B93"), "")</f>
        <v>-7.0000000000000007E-2</v>
      </c>
      <c r="S29">
        <f ca="1">IFERROR(INDIRECT("'" &amp; SUBSTITUTE($R$1,"'","''") &amp; "'!C93"), "")</f>
        <v>17</v>
      </c>
      <c r="T29">
        <f ca="1">IFERROR(INDIRECT("'" &amp; SUBSTITUTE($T$1,"'","''") &amp; "'!B93"), "")</f>
        <v>0.01</v>
      </c>
      <c r="U29">
        <f ca="1">IFERROR(INDIRECT("'" &amp; SUBSTITUTE($T$1,"'","''") &amp; "'!C93"), "")</f>
        <v>60</v>
      </c>
      <c r="V29">
        <f ca="1">IFERROR(INDIRECT("'" &amp; SUBSTITUTE($V$1,"'","''") &amp; "'!B93"), "")</f>
        <v>-0.03</v>
      </c>
      <c r="W29">
        <f ca="1">IFERROR(INDIRECT("'" &amp; SUBSTITUTE($V$1,"'","''") &amp; "'!C93"), "")</f>
        <v>34</v>
      </c>
      <c r="X29">
        <f ca="1">IFERROR(INDIRECT("'" &amp; SUBSTITUTE($X$1,"'","''") &amp; "'!B93"), "")</f>
        <v>-0.01</v>
      </c>
      <c r="Y29">
        <f ca="1">IFERROR(INDIRECT("'" &amp; SUBSTITUTE($X$1,"'","''") &amp; "'!C93"), "")</f>
        <v>49</v>
      </c>
    </row>
    <row r="30" spans="1:25" x14ac:dyDescent="0.2">
      <c r="A30" t="s">
        <v>28</v>
      </c>
      <c r="B30">
        <f ca="1">IFERROR(INDIRECT("'" &amp; SUBSTITUTE($B$1,"'","''") &amp; "'!B98"), "")</f>
        <v>12.31</v>
      </c>
      <c r="C30">
        <f ca="1">IFERROR(INDIRECT("'" &amp; SUBSTITUTE($B$1,"'","''") &amp; "'!C98"), "")</f>
        <v>1</v>
      </c>
      <c r="D30">
        <f ca="1">IFERROR(INDIRECT("'" &amp; SUBSTITUTE($D$1,"'","''") &amp; "'!B98"), "")</f>
        <v>44.03</v>
      </c>
      <c r="E30">
        <f ca="1">IFERROR(INDIRECT("'" &amp; SUBSTITUTE($D$1,"'","''") &amp; "'!C98"), "")</f>
        <v>60</v>
      </c>
      <c r="F30">
        <f ca="1">IFERROR(INDIRECT("'" &amp; SUBSTITUTE($F$1,"'","''") &amp; "'!B98"), "")</f>
        <v>27.42</v>
      </c>
      <c r="G30">
        <f ca="1">IFERROR(INDIRECT("'" &amp; SUBSTITUTE($F$1,"'","''") &amp; "'!C98"), "")</f>
        <v>11</v>
      </c>
      <c r="H30">
        <f ca="1">IFERROR(INDIRECT("'" &amp; SUBSTITUTE($H$1,"'","''") &amp; "'!B98"), "")</f>
        <v>45</v>
      </c>
      <c r="I30">
        <f ca="1">IFERROR(INDIRECT("'" &amp; SUBSTITUTE($H$1,"'","''") &amp; "'!C98"), "")</f>
        <v>63</v>
      </c>
      <c r="J30">
        <f ca="1">IFERROR(INDIRECT("'" &amp; SUBSTITUTE($J$1,"'","''") &amp; "'!B98"), "")</f>
        <v>63.31</v>
      </c>
      <c r="K30">
        <f ca="1">IFERROR(INDIRECT("'" &amp; SUBSTITUTE($J$1,"'","''") &amp; "'!C98"), "")</f>
        <v>86</v>
      </c>
      <c r="L30">
        <f ca="1">IFERROR(INDIRECT("'" &amp; SUBSTITUTE($L$1,"'","''") &amp; "'!B98"), "")</f>
        <v>58.99</v>
      </c>
      <c r="M30">
        <f ca="1">IFERROR(INDIRECT("'" &amp; SUBSTITUTE($L$1,"'","''") &amp; "'!C98"), "")</f>
        <v>86</v>
      </c>
      <c r="N30">
        <f ca="1">IFERROR(INDIRECT("'" &amp; SUBSTITUTE($N$1,"'","''") &amp; "'!B98"), "")</f>
        <v>38.24</v>
      </c>
      <c r="O30">
        <f ca="1">IFERROR(INDIRECT("'" &amp; SUBSTITUTE($N$1,"'","''") &amp; "'!C98"), "")</f>
        <v>55</v>
      </c>
      <c r="P30">
        <f ca="1">IFERROR(INDIRECT("'" &amp; SUBSTITUTE($P$1,"'","''") &amp; "'!B98"), "")</f>
        <v>29.84</v>
      </c>
      <c r="Q30">
        <f ca="1">IFERROR(INDIRECT("'" &amp; SUBSTITUTE($P$1,"'","''") &amp; "'!C98"), "")</f>
        <v>27</v>
      </c>
      <c r="R30">
        <f ca="1">IFERROR(INDIRECT("'" &amp; SUBSTITUTE($R$1,"'","''") &amp; "'!B98"), "")</f>
        <v>42.98</v>
      </c>
      <c r="S30">
        <f ca="1">IFERROR(INDIRECT("'" &amp; SUBSTITUTE($R$1,"'","''") &amp; "'!C98"), "")</f>
        <v>67</v>
      </c>
      <c r="T30">
        <f ca="1">IFERROR(INDIRECT("'" &amp; SUBSTITUTE($T$1,"'","''") &amp; "'!B98"), "")</f>
        <v>51.57</v>
      </c>
      <c r="U30">
        <f ca="1">IFERROR(INDIRECT("'" &amp; SUBSTITUTE($T$1,"'","''") &amp; "'!C98"), "")</f>
        <v>81</v>
      </c>
      <c r="V30">
        <f ca="1">IFERROR(INDIRECT("'" &amp; SUBSTITUTE($V$1,"'","''") &amp; "'!B98"), "")</f>
        <v>42.09</v>
      </c>
      <c r="W30">
        <f ca="1">IFERROR(INDIRECT("'" &amp; SUBSTITUTE($V$1,"'","''") &amp; "'!C98"), "")</f>
        <v>61</v>
      </c>
      <c r="X30">
        <f ca="1">IFERROR(INDIRECT("'" &amp; SUBSTITUTE($X$1,"'","''") &amp; "'!B98"), "")</f>
        <v>32.72</v>
      </c>
      <c r="Y30">
        <f ca="1">IFERROR(INDIRECT("'" &amp; SUBSTITUTE($X$1,"'","''") &amp; "'!C98"), "")</f>
        <v>45</v>
      </c>
    </row>
    <row r="31" spans="1:25" x14ac:dyDescent="0.2">
      <c r="A31" t="s">
        <v>29</v>
      </c>
      <c r="B31">
        <f ca="1">IFERROR(INDIRECT("'" &amp; SUBSTITUTE($B$1,"'","''") &amp; "'!B101"), "")</f>
        <v>18.87</v>
      </c>
      <c r="C31">
        <f ca="1">IFERROR(INDIRECT("'" &amp; SUBSTITUTE($B$1,"'","''") &amp; "'!C101"), "")</f>
        <v>1</v>
      </c>
      <c r="D31">
        <f ca="1">IFERROR(INDIRECT("'" &amp; SUBSTITUTE($D$1,"'","''") &amp; "'!B101"), "")</f>
        <v>51.6</v>
      </c>
      <c r="E31">
        <f ca="1">IFERROR(INDIRECT("'" &amp; SUBSTITUTE($D$1,"'","''") &amp; "'!C101"), "")</f>
        <v>59</v>
      </c>
      <c r="F31">
        <f ca="1">IFERROR(INDIRECT("'" &amp; SUBSTITUTE($F$1,"'","''") &amp; "'!B101"), "")</f>
        <v>35.21</v>
      </c>
      <c r="G31">
        <f ca="1">IFERROR(INDIRECT("'" &amp; SUBSTITUTE($F$1,"'","''") &amp; "'!C101"), "")</f>
        <v>10</v>
      </c>
      <c r="H31">
        <f ca="1">IFERROR(INDIRECT("'" &amp; SUBSTITUTE($H$1,"'","''") &amp; "'!B101"), "")</f>
        <v>48.81</v>
      </c>
      <c r="I31">
        <f ca="1">IFERROR(INDIRECT("'" &amp; SUBSTITUTE($H$1,"'","''") &amp; "'!C101"), "")</f>
        <v>49</v>
      </c>
      <c r="J31">
        <f ca="1">IFERROR(INDIRECT("'" &amp; SUBSTITUTE($J$1,"'","''") &amp; "'!B101"), "")</f>
        <v>70.739999999999995</v>
      </c>
      <c r="K31">
        <f ca="1">IFERROR(INDIRECT("'" &amp; SUBSTITUTE($J$1,"'","''") &amp; "'!C101"), "")</f>
        <v>87</v>
      </c>
      <c r="L31">
        <f ca="1">IFERROR(INDIRECT("'" &amp; SUBSTITUTE($L$1,"'","''") &amp; "'!B101"), "")</f>
        <v>70.34</v>
      </c>
      <c r="M31">
        <f ca="1">IFERROR(INDIRECT("'" &amp; SUBSTITUTE($L$1,"'","''") &amp; "'!C101"), "")</f>
        <v>88</v>
      </c>
      <c r="N31">
        <f ca="1">IFERROR(INDIRECT("'" &amp; SUBSTITUTE($N$1,"'","''") &amp; "'!B101"), "")</f>
        <v>44.58</v>
      </c>
      <c r="O31">
        <f ca="1">IFERROR(INDIRECT("'" &amp; SUBSTITUTE($N$1,"'","''") &amp; "'!C101"), "")</f>
        <v>48</v>
      </c>
      <c r="P31">
        <f ca="1">IFERROR(INDIRECT("'" &amp; SUBSTITUTE($P$1,"'","''") &amp; "'!B101"), "")</f>
        <v>37.5</v>
      </c>
      <c r="Q31">
        <f ca="1">IFERROR(INDIRECT("'" &amp; SUBSTITUTE($P$1,"'","''") &amp; "'!C101"), "")</f>
        <v>23</v>
      </c>
      <c r="R31">
        <f ca="1">IFERROR(INDIRECT("'" &amp; SUBSTITUTE($R$1,"'","''") &amp; "'!B101"), "")</f>
        <v>53.44</v>
      </c>
      <c r="S31">
        <f ca="1">IFERROR(INDIRECT("'" &amp; SUBSTITUTE($R$1,"'","''") &amp; "'!C101"), "")</f>
        <v>70</v>
      </c>
      <c r="T31">
        <f ca="1">IFERROR(INDIRECT("'" &amp; SUBSTITUTE($T$1,"'","''") &amp; "'!B101"), "")</f>
        <v>62.78</v>
      </c>
      <c r="U31">
        <f ca="1">IFERROR(INDIRECT("'" &amp; SUBSTITUTE($T$1,"'","''") &amp; "'!C101"), "")</f>
        <v>84</v>
      </c>
      <c r="V31">
        <f ca="1">IFERROR(INDIRECT("'" &amp; SUBSTITUTE($V$1,"'","''") &amp; "'!B101"), "")</f>
        <v>50</v>
      </c>
      <c r="W31">
        <f ca="1">IFERROR(INDIRECT("'" &amp; SUBSTITUTE($V$1,"'","''") &amp; "'!C101"), "")</f>
        <v>59</v>
      </c>
      <c r="X31">
        <f ca="1">IFERROR(INDIRECT("'" &amp; SUBSTITUTE($X$1,"'","''") &amp; "'!B101"), "")</f>
        <v>37.94</v>
      </c>
      <c r="Y31">
        <f ca="1">IFERROR(INDIRECT("'" &amp; SUBSTITUTE($X$1,"'","''") &amp; "'!C101"), "")</f>
        <v>31</v>
      </c>
    </row>
    <row r="32" spans="1:25" x14ac:dyDescent="0.2">
      <c r="A32" t="s">
        <v>30</v>
      </c>
      <c r="B32">
        <f ca="1">IFERROR(INDIRECT("'" &amp; SUBSTITUTE($B$1,"'","''") &amp; "'!B104"), "")</f>
        <v>0.65200000000000002</v>
      </c>
      <c r="C32">
        <f ca="1">IFERROR(INDIRECT("'" &amp; SUBSTITUTE($B$1,"'","''") &amp; "'!C104"), "")</f>
        <v>1</v>
      </c>
      <c r="D32">
        <f ca="1">IFERROR(INDIRECT("'" &amp; SUBSTITUTE($D$1,"'","''") &amp; "'!B104"), "")</f>
        <v>0.85299999999999998</v>
      </c>
      <c r="E32">
        <f ca="1">IFERROR(INDIRECT("'" &amp; SUBSTITUTE($D$1,"'","''") &amp; "'!C104"), "")</f>
        <v>58</v>
      </c>
      <c r="F32">
        <f ca="1">IFERROR(INDIRECT("'" &amp; SUBSTITUTE($F$1,"'","''") &amp; "'!B104"), "")</f>
        <v>0.77900000000000003</v>
      </c>
      <c r="G32">
        <f ca="1">IFERROR(INDIRECT("'" &amp; SUBSTITUTE($F$1,"'","''") &amp; "'!C104"), "")</f>
        <v>15</v>
      </c>
      <c r="H32">
        <f ca="1">IFERROR(INDIRECT("'" &amp; SUBSTITUTE($H$1,"'","''") &amp; "'!B104"), "")</f>
        <v>0.92200000000000004</v>
      </c>
      <c r="I32">
        <f ca="1">IFERROR(INDIRECT("'" &amp; SUBSTITUTE($H$1,"'","''") &amp; "'!C104"), "")</f>
        <v>96</v>
      </c>
      <c r="J32">
        <f ca="1">IFERROR(INDIRECT("'" &amp; SUBSTITUTE($J$1,"'","''") &amp; "'!B104"), "")</f>
        <v>0.89500000000000002</v>
      </c>
      <c r="K32">
        <f ca="1">IFERROR(INDIRECT("'" &amp; SUBSTITUTE($J$1,"'","''") &amp; "'!C104"), "")</f>
        <v>71</v>
      </c>
      <c r="L32">
        <f ca="1">IFERROR(INDIRECT("'" &amp; SUBSTITUTE($L$1,"'","''") &amp; "'!B104"), "")</f>
        <v>0.83899999999999997</v>
      </c>
      <c r="M32">
        <f ca="1">IFERROR(INDIRECT("'" &amp; SUBSTITUTE($L$1,"'","''") &amp; "'!C104"), "")</f>
        <v>60</v>
      </c>
      <c r="N32">
        <f ca="1">IFERROR(INDIRECT("'" &amp; SUBSTITUTE($N$1,"'","''") &amp; "'!B104"), "")</f>
        <v>0.85799999999999998</v>
      </c>
      <c r="O32">
        <f ca="1">IFERROR(INDIRECT("'" &amp; SUBSTITUTE($N$1,"'","''") &amp; "'!C104"), "")</f>
        <v>73</v>
      </c>
      <c r="P32">
        <f ca="1">IFERROR(INDIRECT("'" &amp; SUBSTITUTE($P$1,"'","''") &amp; "'!B104"), "")</f>
        <v>0.79600000000000004</v>
      </c>
      <c r="Q32">
        <f ca="1">IFERROR(INDIRECT("'" &amp; SUBSTITUTE($P$1,"'","''") &amp; "'!C104"), "")</f>
        <v>45</v>
      </c>
      <c r="R32">
        <f ca="1">IFERROR(INDIRECT("'" &amp; SUBSTITUTE($R$1,"'","''") &amp; "'!B104"), "")</f>
        <v>0.80400000000000005</v>
      </c>
      <c r="S32">
        <f ca="1">IFERROR(INDIRECT("'" &amp; SUBSTITUTE($R$1,"'","''") &amp; "'!C104"), "")</f>
        <v>52</v>
      </c>
      <c r="T32">
        <f ca="1">IFERROR(INDIRECT("'" &amp; SUBSTITUTE($T$1,"'","''") &amp; "'!B104"), "")</f>
        <v>0.82099999999999995</v>
      </c>
      <c r="U32">
        <f ca="1">IFERROR(INDIRECT("'" &amp; SUBSTITUTE($T$1,"'","''") &amp; "'!C104"), "")</f>
        <v>60</v>
      </c>
      <c r="V32">
        <f ca="1">IFERROR(INDIRECT("'" &amp; SUBSTITUTE($V$1,"'","''") &amp; "'!B104"), "")</f>
        <v>0.84199999999999997</v>
      </c>
      <c r="W32">
        <f ca="1">IFERROR(INDIRECT("'" &amp; SUBSTITUTE($V$1,"'","''") &amp; "'!C104"), "")</f>
        <v>63</v>
      </c>
      <c r="X32">
        <f ca="1">IFERROR(INDIRECT("'" &amp; SUBSTITUTE($X$1,"'","''") &amp; "'!B104"), "")</f>
        <v>0.86299999999999999</v>
      </c>
      <c r="Y32">
        <f ca="1">IFERROR(INDIRECT("'" &amp; SUBSTITUTE($X$1,"'","''") &amp; "'!C104"), "")</f>
        <v>83</v>
      </c>
    </row>
    <row r="33" spans="1:25" x14ac:dyDescent="0.2">
      <c r="A33" t="s">
        <v>31</v>
      </c>
      <c r="B33">
        <f ca="1">IFERROR(INDIRECT("'" &amp; SUBSTITUTE($B$1,"'","''") &amp; "'!B107"), "")</f>
        <v>169.48</v>
      </c>
      <c r="C33">
        <f ca="1">IFERROR(INDIRECT("'" &amp; SUBSTITUTE($B$1,"'","''") &amp; "'!C107"), "")</f>
        <v>1</v>
      </c>
      <c r="D33">
        <f ca="1">IFERROR(INDIRECT("'" &amp; SUBSTITUTE($D$1,"'","''") &amp; "'!B107"), "")</f>
        <v>650.86</v>
      </c>
      <c r="E33">
        <f ca="1">IFERROR(INDIRECT("'" &amp; SUBSTITUTE($D$1,"'","''") &amp; "'!C107"), "")</f>
        <v>43</v>
      </c>
      <c r="F33">
        <f ca="1">IFERROR(INDIRECT("'" &amp; SUBSTITUTE($F$1,"'","''") &amp; "'!B107"), "")</f>
        <v>447.28</v>
      </c>
      <c r="G33">
        <f ca="1">IFERROR(INDIRECT("'" &amp; SUBSTITUTE($F$1,"'","''") &amp; "'!C107"), "")</f>
        <v>10</v>
      </c>
      <c r="H33">
        <f ca="1">IFERROR(INDIRECT("'" &amp; SUBSTITUTE($H$1,"'","''") &amp; "'!B107"), "")</f>
        <v>716.32</v>
      </c>
      <c r="I33">
        <f ca="1">IFERROR(INDIRECT("'" &amp; SUBSTITUTE($H$1,"'","''") &amp; "'!C107"), "")</f>
        <v>57</v>
      </c>
      <c r="J33">
        <f ca="1">IFERROR(INDIRECT("'" &amp; SUBSTITUTE($J$1,"'","''") &amp; "'!B107"), "")</f>
        <v>1188.6600000000001</v>
      </c>
      <c r="K33">
        <f ca="1">IFERROR(INDIRECT("'" &amp; SUBSTITUTE($J$1,"'","''") &amp; "'!C107"), "")</f>
        <v>86</v>
      </c>
      <c r="L33">
        <f ca="1">IFERROR(INDIRECT("'" &amp; SUBSTITUTE($L$1,"'","''") &amp; "'!B107"), "")</f>
        <v>1116.82</v>
      </c>
      <c r="M33">
        <f ca="1">IFERROR(INDIRECT("'" &amp; SUBSTITUTE($L$1,"'","''") &amp; "'!C107"), "")</f>
        <v>94</v>
      </c>
      <c r="N33">
        <f ca="1">IFERROR(INDIRECT("'" &amp; SUBSTITUTE($N$1,"'","''") &amp; "'!B107"), "")</f>
        <v>617.51</v>
      </c>
      <c r="O33">
        <f ca="1">IFERROR(INDIRECT("'" &amp; SUBSTITUTE($N$1,"'","''") &amp; "'!C107"), "")</f>
        <v>52</v>
      </c>
      <c r="P33">
        <f ca="1">IFERROR(INDIRECT("'" &amp; SUBSTITUTE($P$1,"'","''") &amp; "'!B107"), "")</f>
        <v>548.5</v>
      </c>
      <c r="Q33">
        <f ca="1">IFERROR(INDIRECT("'" &amp; SUBSTITUTE($P$1,"'","''") &amp; "'!C107"), "")</f>
        <v>42</v>
      </c>
      <c r="R33">
        <f ca="1">IFERROR(INDIRECT("'" &amp; SUBSTITUTE($R$1,"'","''") &amp; "'!B107"), "")</f>
        <v>791.19</v>
      </c>
      <c r="S33">
        <f ca="1">IFERROR(INDIRECT("'" &amp; SUBSTITUTE($R$1,"'","''") &amp; "'!C107"), "")</f>
        <v>74</v>
      </c>
      <c r="T33">
        <f ca="1">IFERROR(INDIRECT("'" &amp; SUBSTITUTE($T$1,"'","''") &amp; "'!B107"), "")</f>
        <v>1092.46</v>
      </c>
      <c r="U33">
        <f ca="1">IFERROR(INDIRECT("'" &amp; SUBSTITUTE($T$1,"'","''") &amp; "'!C107"), "")</f>
        <v>97</v>
      </c>
      <c r="V33">
        <f ca="1">IFERROR(INDIRECT("'" &amp; SUBSTITUTE($V$1,"'","''") &amp; "'!B107"), "")</f>
        <v>642.75</v>
      </c>
      <c r="W33">
        <f ca="1">IFERROR(INDIRECT("'" &amp; SUBSTITUTE($V$1,"'","''") &amp; "'!C107"), "")</f>
        <v>56</v>
      </c>
      <c r="X33">
        <f ca="1">IFERROR(INDIRECT("'" &amp; SUBSTITUTE($X$1,"'","''") &amp; "'!B107"), "")</f>
        <v>515.63</v>
      </c>
      <c r="Y33">
        <f ca="1">IFERROR(INDIRECT("'" &amp; SUBSTITUTE($X$1,"'","''") &amp; "'!C107"), "")</f>
        <v>42</v>
      </c>
    </row>
    <row r="34" spans="1:25" x14ac:dyDescent="0.2">
      <c r="A34" t="s">
        <v>32</v>
      </c>
      <c r="B34">
        <f ca="1">IFERROR(INDIRECT("'" &amp; SUBSTITUTE($B$1,"'","''") &amp; "'!B110"), "")</f>
        <v>49.24</v>
      </c>
      <c r="C34">
        <f ca="1">IFERROR(INDIRECT("'" &amp; SUBSTITUTE($B$1,"'","''") &amp; "'!C110"), "")</f>
        <v>1</v>
      </c>
      <c r="D34">
        <f ca="1">IFERROR(INDIRECT("'" &amp; SUBSTITUTE($D$1,"'","''") &amp; "'!B110"), "")</f>
        <v>159.71</v>
      </c>
      <c r="E34">
        <f ca="1">IFERROR(INDIRECT("'" &amp; SUBSTITUTE($D$1,"'","''") &amp; "'!C110"), "")</f>
        <v>31</v>
      </c>
      <c r="F34">
        <f ca="1">IFERROR(INDIRECT("'" &amp; SUBSTITUTE($F$1,"'","''") &amp; "'!B110"), "")</f>
        <v>99.72</v>
      </c>
      <c r="G34">
        <f ca="1">IFERROR(INDIRECT("'" &amp; SUBSTITUTE($F$1,"'","''") &amp; "'!C110"), "")</f>
        <v>4</v>
      </c>
      <c r="H34">
        <f ca="1">IFERROR(INDIRECT("'" &amp; SUBSTITUTE($H$1,"'","''") &amp; "'!B110"), "")</f>
        <v>201.75</v>
      </c>
      <c r="I34">
        <f ca="1">IFERROR(INDIRECT("'" &amp; SUBSTITUTE($H$1,"'","''") &amp; "'!C110"), "")</f>
        <v>54</v>
      </c>
      <c r="J34">
        <f ca="1">IFERROR(INDIRECT("'" &amp; SUBSTITUTE($J$1,"'","''") &amp; "'!B110"), "")</f>
        <v>429.69</v>
      </c>
      <c r="K34">
        <f ca="1">IFERROR(INDIRECT("'" &amp; SUBSTITUTE($J$1,"'","''") &amp; "'!C110"), "")</f>
        <v>89</v>
      </c>
      <c r="L34">
        <f ca="1">IFERROR(INDIRECT("'" &amp; SUBSTITUTE($L$1,"'","''") &amp; "'!B110"), "")</f>
        <v>309.92</v>
      </c>
      <c r="M34">
        <f ca="1">IFERROR(INDIRECT("'" &amp; SUBSTITUTE($L$1,"'","''") &amp; "'!C110"), "")</f>
        <v>92</v>
      </c>
      <c r="N34">
        <f ca="1">IFERROR(INDIRECT("'" &amp; SUBSTITUTE($N$1,"'","''") &amp; "'!B110"), "")</f>
        <v>161.96</v>
      </c>
      <c r="O34">
        <f ca="1">IFERROR(INDIRECT("'" &amp; SUBSTITUTE($N$1,"'","''") &amp; "'!C110"), "")</f>
        <v>44</v>
      </c>
      <c r="P34">
        <f ca="1">IFERROR(INDIRECT("'" &amp; SUBSTITUTE($P$1,"'","''") &amp; "'!B110"), "")</f>
        <v>107.77</v>
      </c>
      <c r="Q34">
        <f ca="1">IFERROR(INDIRECT("'" &amp; SUBSTITUTE($P$1,"'","''") &amp; "'!C110"), "")</f>
        <v>14</v>
      </c>
      <c r="R34">
        <f ca="1">IFERROR(INDIRECT("'" &amp; SUBSTITUTE($R$1,"'","''") &amp; "'!B110"), "")</f>
        <v>208.52</v>
      </c>
      <c r="S34">
        <f ca="1">IFERROR(INDIRECT("'" &amp; SUBSTITUTE($R$1,"'","''") &amp; "'!C110"), "")</f>
        <v>76</v>
      </c>
      <c r="T34">
        <f ca="1">IFERROR(INDIRECT("'" &amp; SUBSTITUTE($T$1,"'","''") &amp; "'!B110"), "")</f>
        <v>299.27</v>
      </c>
      <c r="U34">
        <f ca="1">IFERROR(INDIRECT("'" &amp; SUBSTITUTE($T$1,"'","''") &amp; "'!C110"), "")</f>
        <v>93</v>
      </c>
      <c r="V34">
        <f ca="1">IFERROR(INDIRECT("'" &amp; SUBSTITUTE($V$1,"'","''") &amp; "'!B110"), "")</f>
        <v>149.44999999999999</v>
      </c>
      <c r="W34">
        <f ca="1">IFERROR(INDIRECT("'" &amp; SUBSTITUTE($V$1,"'","''") &amp; "'!C110"), "")</f>
        <v>35</v>
      </c>
      <c r="X34">
        <f ca="1">IFERROR(INDIRECT("'" &amp; SUBSTITUTE($X$1,"'","''") &amp; "'!B110"), "")</f>
        <v>101.49</v>
      </c>
      <c r="Y34">
        <f ca="1">IFERROR(INDIRECT("'" &amp; SUBSTITUTE($X$1,"'","''") &amp; "'!C110"), "")</f>
        <v>19</v>
      </c>
    </row>
    <row r="35" spans="1:25" x14ac:dyDescent="0.2">
      <c r="A35" t="s">
        <v>33</v>
      </c>
      <c r="B35">
        <f ca="1">IFERROR(INDIRECT("'" &amp; SUBSTITUTE($B$1,"'","''") &amp; "'!B114"), "")</f>
        <v>6.98</v>
      </c>
      <c r="C35">
        <f ca="1">IFERROR(INDIRECT("'" &amp; SUBSTITUTE($B$1,"'","''") &amp; "'!C114"), "")</f>
        <v>1</v>
      </c>
      <c r="D35">
        <f ca="1">IFERROR(INDIRECT("'" &amp; SUBSTITUTE($D$1,"'","''") &amp; "'!B114"), "")</f>
        <v>24.89</v>
      </c>
      <c r="E35">
        <f ca="1">IFERROR(INDIRECT("'" &amp; SUBSTITUTE($D$1,"'","''") &amp; "'!C114"), "")</f>
        <v>77</v>
      </c>
      <c r="F35">
        <f ca="1">IFERROR(INDIRECT("'" &amp; SUBSTITUTE($F$1,"'","''") &amp; "'!B114"), "")</f>
        <v>14.47</v>
      </c>
      <c r="G35">
        <f ca="1">IFERROR(INDIRECT("'" &amp; SUBSTITUTE($F$1,"'","''") &amp; "'!C114"), "")</f>
        <v>19</v>
      </c>
      <c r="H35">
        <f ca="1">IFERROR(INDIRECT("'" &amp; SUBSTITUTE($H$1,"'","''") &amp; "'!B114"), "")</f>
        <v>23.12</v>
      </c>
      <c r="I35">
        <f ca="1">IFERROR(INDIRECT("'" &amp; SUBSTITUTE($H$1,"'","''") &amp; "'!C114"), "")</f>
        <v>70</v>
      </c>
      <c r="J35">
        <f ca="1">IFERROR(INDIRECT("'" &amp; SUBSTITUTE($J$1,"'","''") &amp; "'!B114"), "")</f>
        <v>22.66</v>
      </c>
      <c r="K35">
        <f ca="1">IFERROR(INDIRECT("'" &amp; SUBSTITUTE($J$1,"'","''") &amp; "'!C114"), "")</f>
        <v>77</v>
      </c>
      <c r="L35">
        <f ca="1">IFERROR(INDIRECT("'" &amp; SUBSTITUTE($L$1,"'","''") &amp; "'!B114"), "")</f>
        <v>22.76</v>
      </c>
      <c r="M35">
        <f ca="1">IFERROR(INDIRECT("'" &amp; SUBSTITUTE($L$1,"'","''") &amp; "'!C114"), "")</f>
        <v>64</v>
      </c>
      <c r="N35">
        <f ca="1">IFERROR(INDIRECT("'" &amp; SUBSTITUTE($N$1,"'","''") &amp; "'!B114"), "")</f>
        <v>19.829999999999998</v>
      </c>
      <c r="O35">
        <f ca="1">IFERROR(INDIRECT("'" &amp; SUBSTITUTE($N$1,"'","''") &amp; "'!C114"), "")</f>
        <v>52</v>
      </c>
      <c r="P35">
        <f ca="1">IFERROR(INDIRECT("'" &amp; SUBSTITUTE($P$1,"'","''") &amp; "'!B114"), "")</f>
        <v>14.12</v>
      </c>
      <c r="Q35">
        <f ca="1">IFERROR(INDIRECT("'" &amp; SUBSTITUTE($P$1,"'","''") &amp; "'!C114"), "")</f>
        <v>15</v>
      </c>
      <c r="R35">
        <f ca="1">IFERROR(INDIRECT("'" &amp; SUBSTITUTE($R$1,"'","''") &amp; "'!B114"), "")</f>
        <v>16.329999999999998</v>
      </c>
      <c r="S35">
        <f ca="1">IFERROR(INDIRECT("'" &amp; SUBSTITUTE($R$1,"'","''") &amp; "'!C114"), "")</f>
        <v>40</v>
      </c>
      <c r="T35">
        <f ca="1">IFERROR(INDIRECT("'" &amp; SUBSTITUTE($T$1,"'","''") &amp; "'!B114"), "")</f>
        <v>17.23</v>
      </c>
      <c r="U35">
        <f ca="1">IFERROR(INDIRECT("'" &amp; SUBSTITUTE($T$1,"'","''") &amp; "'!C114"), "")</f>
        <v>46</v>
      </c>
      <c r="V35">
        <f ca="1">IFERROR(INDIRECT("'" &amp; SUBSTITUTE($V$1,"'","''") &amp; "'!B114"), "")</f>
        <v>22.75</v>
      </c>
      <c r="W35">
        <f ca="1">IFERROR(INDIRECT("'" &amp; SUBSTITUTE($V$1,"'","''") &amp; "'!C114"), "")</f>
        <v>63</v>
      </c>
      <c r="X35">
        <f ca="1">IFERROR(INDIRECT("'" &amp; SUBSTITUTE($X$1,"'","''") &amp; "'!B114"), "")</f>
        <v>15.14</v>
      </c>
      <c r="Y35">
        <f ca="1">IFERROR(INDIRECT("'" &amp; SUBSTITUTE($X$1,"'","''") &amp; "'!C114"), "")</f>
        <v>38</v>
      </c>
    </row>
    <row r="36" spans="1:25" x14ac:dyDescent="0.2">
      <c r="A36" t="s">
        <v>34</v>
      </c>
      <c r="B36">
        <f ca="1">IFERROR(INDIRECT("'" &amp; SUBSTITUTE($B$1,"'","''") &amp; "'!B117"), "")</f>
        <v>9.9700000000000006</v>
      </c>
      <c r="C36">
        <f ca="1">IFERROR(INDIRECT("'" &amp; SUBSTITUTE($B$1,"'","''") &amp; "'!C117"), "")</f>
        <v>1</v>
      </c>
      <c r="D36">
        <f ca="1">IFERROR(INDIRECT("'" &amp; SUBSTITUTE($D$1,"'","''") &amp; "'!B117"), "")</f>
        <v>27.25</v>
      </c>
      <c r="E36">
        <f ca="1">IFERROR(INDIRECT("'" &amp; SUBSTITUTE($D$1,"'","''") &amp; "'!C117"), "")</f>
        <v>78</v>
      </c>
      <c r="F36">
        <f ca="1">IFERROR(INDIRECT("'" &amp; SUBSTITUTE($F$1,"'","''") &amp; "'!B117"), "")</f>
        <v>16.45</v>
      </c>
      <c r="G36">
        <f ca="1">IFERROR(INDIRECT("'" &amp; SUBSTITUTE($F$1,"'","''") &amp; "'!C117"), "")</f>
        <v>17</v>
      </c>
      <c r="H36">
        <f ca="1">IFERROR(INDIRECT("'" &amp; SUBSTITUTE($H$1,"'","''") &amp; "'!B117"), "")</f>
        <v>24.34</v>
      </c>
      <c r="I36">
        <f ca="1">IFERROR(INDIRECT("'" &amp; SUBSTITUTE($H$1,"'","''") &amp; "'!C117"), "")</f>
        <v>65</v>
      </c>
      <c r="J36">
        <f ca="1">IFERROR(INDIRECT("'" &amp; SUBSTITUTE($J$1,"'","''") &amp; "'!B117"), "")</f>
        <v>24.14</v>
      </c>
      <c r="K36">
        <f ca="1">IFERROR(INDIRECT("'" &amp; SUBSTITUTE($J$1,"'","''") &amp; "'!C117"), "")</f>
        <v>77</v>
      </c>
      <c r="L36">
        <f ca="1">IFERROR(INDIRECT("'" &amp; SUBSTITUTE($L$1,"'","''") &amp; "'!B117"), "")</f>
        <v>24.38</v>
      </c>
      <c r="M36">
        <f ca="1">IFERROR(INDIRECT("'" &amp; SUBSTITUTE($L$1,"'","''") &amp; "'!C117"), "")</f>
        <v>62</v>
      </c>
      <c r="N36">
        <f ca="1">IFERROR(INDIRECT("'" &amp; SUBSTITUTE($N$1,"'","''") &amp; "'!B117"), "")</f>
        <v>21.77</v>
      </c>
      <c r="O36">
        <f ca="1">IFERROR(INDIRECT("'" &amp; SUBSTITUTE($N$1,"'","''") &amp; "'!C117"), "")</f>
        <v>51</v>
      </c>
      <c r="P36">
        <f ca="1">IFERROR(INDIRECT("'" &amp; SUBSTITUTE($P$1,"'","''") &amp; "'!B117"), "")</f>
        <v>16.45</v>
      </c>
      <c r="Q36">
        <f ca="1">IFERROR(INDIRECT("'" &amp; SUBSTITUTE($P$1,"'","''") &amp; "'!C117"), "")</f>
        <v>15</v>
      </c>
      <c r="R36">
        <f ca="1">IFERROR(INDIRECT("'" &amp; SUBSTITUTE($R$1,"'","''") &amp; "'!B117"), "")</f>
        <v>18.3</v>
      </c>
      <c r="S36">
        <f ca="1">IFERROR(INDIRECT("'" &amp; SUBSTITUTE($R$1,"'","''") &amp; "'!C117"), "")</f>
        <v>33</v>
      </c>
      <c r="T36">
        <f ca="1">IFERROR(INDIRECT("'" &amp; SUBSTITUTE($T$1,"'","''") &amp; "'!B117"), "")</f>
        <v>18.93</v>
      </c>
      <c r="U36">
        <f ca="1">IFERROR(INDIRECT("'" &amp; SUBSTITUTE($T$1,"'","''") &amp; "'!C117"), "")</f>
        <v>40</v>
      </c>
      <c r="V36">
        <f ca="1">IFERROR(INDIRECT("'" &amp; SUBSTITUTE($V$1,"'","''") &amp; "'!B117"), "")</f>
        <v>25.71</v>
      </c>
      <c r="W36">
        <f ca="1">IFERROR(INDIRECT("'" &amp; SUBSTITUTE($V$1,"'","''") &amp; "'!C117"), "")</f>
        <v>64</v>
      </c>
      <c r="X36">
        <f ca="1">IFERROR(INDIRECT("'" &amp; SUBSTITUTE($X$1,"'","''") &amp; "'!B117"), "")</f>
        <v>17.399999999999999</v>
      </c>
      <c r="Y36">
        <f ca="1">IFERROR(INDIRECT("'" &amp; SUBSTITUTE($X$1,"'","''") &amp; "'!C117"), "")</f>
        <v>36</v>
      </c>
    </row>
    <row r="37" spans="1:25" x14ac:dyDescent="0.2">
      <c r="A37" t="s">
        <v>35</v>
      </c>
      <c r="B37">
        <f ca="1">IFERROR(INDIRECT("'" &amp; SUBSTITUTE($B$1,"'","''") &amp; "'!B120"), "")</f>
        <v>0.7</v>
      </c>
      <c r="C37">
        <f ca="1">IFERROR(INDIRECT("'" &amp; SUBSTITUTE($B$1,"'","''") &amp; "'!C120"), "")</f>
        <v>1</v>
      </c>
      <c r="D37">
        <f ca="1">IFERROR(INDIRECT("'" &amp; SUBSTITUTE($D$1,"'","''") &amp; "'!B120"), "")</f>
        <v>0.91300000000000003</v>
      </c>
      <c r="E37">
        <f ca="1">IFERROR(INDIRECT("'" &amp; SUBSTITUTE($D$1,"'","''") &amp; "'!C120"), "")</f>
        <v>63</v>
      </c>
      <c r="F37">
        <f ca="1">IFERROR(INDIRECT("'" &amp; SUBSTITUTE($F$1,"'","''") &amp; "'!B120"), "")</f>
        <v>0.879</v>
      </c>
      <c r="G37">
        <f ca="1">IFERROR(INDIRECT("'" &amp; SUBSTITUTE($F$1,"'","''") &amp; "'!C120"), "")</f>
        <v>28</v>
      </c>
      <c r="H37">
        <f ca="1">IFERROR(INDIRECT("'" &amp; SUBSTITUTE($H$1,"'","''") &amp; "'!B120"), "")</f>
        <v>0.95</v>
      </c>
      <c r="I37">
        <f ca="1">IFERROR(INDIRECT("'" &amp; SUBSTITUTE($H$1,"'","''") &amp; "'!C120"), "")</f>
        <v>95</v>
      </c>
      <c r="J37">
        <f ca="1">IFERROR(INDIRECT("'" &amp; SUBSTITUTE($J$1,"'","''") &amp; "'!B120"), "")</f>
        <v>0.93799999999999994</v>
      </c>
      <c r="K37">
        <f ca="1">IFERROR(INDIRECT("'" &amp; SUBSTITUTE($J$1,"'","''") &amp; "'!C120"), "")</f>
        <v>62</v>
      </c>
      <c r="L37">
        <f ca="1">IFERROR(INDIRECT("'" &amp; SUBSTITUTE($L$1,"'","''") &amp; "'!B120"), "")</f>
        <v>0.93400000000000005</v>
      </c>
      <c r="M37">
        <f ca="1">IFERROR(INDIRECT("'" &amp; SUBSTITUTE($L$1,"'","''") &amp; "'!C120"), "")</f>
        <v>86</v>
      </c>
      <c r="N37">
        <f ca="1">IFERROR(INDIRECT("'" &amp; SUBSTITUTE($N$1,"'","''") &amp; "'!B120"), "")</f>
        <v>0.91100000000000003</v>
      </c>
      <c r="O37">
        <f ca="1">IFERROR(INDIRECT("'" &amp; SUBSTITUTE($N$1,"'","''") &amp; "'!C120"), "")</f>
        <v>73</v>
      </c>
      <c r="P37">
        <f ca="1">IFERROR(INDIRECT("'" &amp; SUBSTITUTE($P$1,"'","''") &amp; "'!B120"), "")</f>
        <v>0.85799999999999998</v>
      </c>
      <c r="Q37">
        <f ca="1">IFERROR(INDIRECT("'" &amp; SUBSTITUTE($P$1,"'","''") &amp; "'!C120"), "")</f>
        <v>30</v>
      </c>
      <c r="R37">
        <f ca="1">IFERROR(INDIRECT("'" &amp; SUBSTITUTE($R$1,"'","''") &amp; "'!B120"), "")</f>
        <v>0.89200000000000002</v>
      </c>
      <c r="S37">
        <f ca="1">IFERROR(INDIRECT("'" &amp; SUBSTITUTE($R$1,"'","''") &amp; "'!C120"), "")</f>
        <v>60</v>
      </c>
      <c r="T37">
        <f ca="1">IFERROR(INDIRECT("'" &amp; SUBSTITUTE($T$1,"'","''") &amp; "'!B120"), "")</f>
        <v>0.91</v>
      </c>
      <c r="U37">
        <f ca="1">IFERROR(INDIRECT("'" &amp; SUBSTITUTE($T$1,"'","''") &amp; "'!C120"), "")</f>
        <v>78</v>
      </c>
      <c r="V37">
        <f ca="1">IFERROR(INDIRECT("'" &amp; SUBSTITUTE($V$1,"'","''") &amp; "'!B120"), "")</f>
        <v>0.88500000000000001</v>
      </c>
      <c r="W37">
        <f ca="1">IFERROR(INDIRECT("'" &amp; SUBSTITUTE($V$1,"'","''") &amp; "'!C120"), "")</f>
        <v>41</v>
      </c>
      <c r="X37">
        <f ca="1">IFERROR(INDIRECT("'" &amp; SUBSTITUTE($X$1,"'","''") &amp; "'!B120"), "")</f>
        <v>0.87</v>
      </c>
      <c r="Y37">
        <f ca="1">IFERROR(INDIRECT("'" &amp; SUBSTITUTE($X$1,"'","''") &amp; "'!C120"), "")</f>
        <v>48</v>
      </c>
    </row>
    <row r="38" spans="1:25" x14ac:dyDescent="0.2">
      <c r="A38" t="s">
        <v>36</v>
      </c>
      <c r="B38">
        <f ca="1">IFERROR(INDIRECT("'" &amp; SUBSTITUTE($B$1,"'","''") &amp; "'!B124"), "")</f>
        <v>3.99</v>
      </c>
      <c r="C38">
        <f ca="1">IFERROR(INDIRECT("'" &amp; SUBSTITUTE($B$1,"'","''") &amp; "'!C124"), "")</f>
        <v>1</v>
      </c>
      <c r="D38">
        <f ca="1">IFERROR(INDIRECT("'" &amp; SUBSTITUTE($D$1,"'","''") &amp; "'!B124"), "")</f>
        <v>14.44</v>
      </c>
      <c r="E38">
        <f ca="1">IFERROR(INDIRECT("'" &amp; SUBSTITUTE($D$1,"'","''") &amp; "'!C124"), "")</f>
        <v>33</v>
      </c>
      <c r="F38">
        <f ca="1">IFERROR(INDIRECT("'" &amp; SUBSTITUTE($F$1,"'","''") &amp; "'!B124"), "")</f>
        <v>9.66</v>
      </c>
      <c r="G38">
        <f ca="1">IFERROR(INDIRECT("'" &amp; SUBSTITUTE($F$1,"'","''") &amp; "'!C124"), "")</f>
        <v>7</v>
      </c>
      <c r="H38">
        <f ca="1">IFERROR(INDIRECT("'" &amp; SUBSTITUTE($H$1,"'","''") &amp; "'!B124"), "")</f>
        <v>17.53</v>
      </c>
      <c r="I38">
        <f ca="1">IFERROR(INDIRECT("'" &amp; SUBSTITUTE($H$1,"'","''") &amp; "'!C124"), "")</f>
        <v>55</v>
      </c>
      <c r="J38">
        <f ca="1">IFERROR(INDIRECT("'" &amp; SUBSTITUTE($J$1,"'","''") &amp; "'!B124"), "")</f>
        <v>35</v>
      </c>
      <c r="K38">
        <f ca="1">IFERROR(INDIRECT("'" &amp; SUBSTITUTE($J$1,"'","''") &amp; "'!C124"), "")</f>
        <v>87</v>
      </c>
      <c r="L38">
        <f ca="1">IFERROR(INDIRECT("'" &amp; SUBSTITUTE($L$1,"'","''") &amp; "'!B124"), "")</f>
        <v>26.59</v>
      </c>
      <c r="M38">
        <f ca="1">IFERROR(INDIRECT("'" &amp; SUBSTITUTE($L$1,"'","''") &amp; "'!C124"), "")</f>
        <v>93</v>
      </c>
      <c r="N38">
        <f ca="1">IFERROR(INDIRECT("'" &amp; SUBSTITUTE($N$1,"'","''") &amp; "'!B124"), "")</f>
        <v>14.71</v>
      </c>
      <c r="O38">
        <f ca="1">IFERROR(INDIRECT("'" &amp; SUBSTITUTE($N$1,"'","''") &amp; "'!C124"), "")</f>
        <v>54</v>
      </c>
      <c r="P38">
        <f ca="1">IFERROR(INDIRECT("'" &amp; SUBSTITUTE($P$1,"'","''") &amp; "'!B124"), "")</f>
        <v>10.58</v>
      </c>
      <c r="Q38">
        <f ca="1">IFERROR(INDIRECT("'" &amp; SUBSTITUTE($P$1,"'","''") &amp; "'!C124"), "")</f>
        <v>27</v>
      </c>
      <c r="R38">
        <f ca="1">IFERROR(INDIRECT("'" &amp; SUBSTITUTE($R$1,"'","''") &amp; "'!B124"), "")</f>
        <v>20.83</v>
      </c>
      <c r="S38">
        <f ca="1">IFERROR(INDIRECT("'" &amp; SUBSTITUTE($R$1,"'","''") &amp; "'!C124"), "")</f>
        <v>87</v>
      </c>
      <c r="T38">
        <f ca="1">IFERROR(INDIRECT("'" &amp; SUBSTITUTE($T$1,"'","''") &amp; "'!B124"), "")</f>
        <v>24.56</v>
      </c>
      <c r="U38">
        <f ca="1">IFERROR(INDIRECT("'" &amp; SUBSTITUTE($T$1,"'","''") &amp; "'!C124"), "")</f>
        <v>93</v>
      </c>
      <c r="V38">
        <f ca="1">IFERROR(INDIRECT("'" &amp; SUBSTITUTE($V$1,"'","''") &amp; "'!B124"), "")</f>
        <v>15.16</v>
      </c>
      <c r="W38">
        <f ca="1">IFERROR(INDIRECT("'" &amp; SUBSTITUTE($V$1,"'","''") &amp; "'!C124"), "")</f>
        <v>57</v>
      </c>
      <c r="X38">
        <f ca="1">IFERROR(INDIRECT("'" &amp; SUBSTITUTE($X$1,"'","''") &amp; "'!B124"), "")</f>
        <v>13.89</v>
      </c>
      <c r="Y38">
        <f ca="1">IFERROR(INDIRECT("'" &amp; SUBSTITUTE($X$1,"'","''") &amp; "'!C124"), "")</f>
        <v>53</v>
      </c>
    </row>
    <row r="39" spans="1:25" x14ac:dyDescent="0.2">
      <c r="A39" t="s">
        <v>37</v>
      </c>
      <c r="B39">
        <f ca="1">IFERROR(INDIRECT("'" &amp; SUBSTITUTE($B$1,"'","''") &amp; "'!B127"), "")</f>
        <v>5.55</v>
      </c>
      <c r="C39">
        <f ca="1">IFERROR(INDIRECT("'" &amp; SUBSTITUTE($B$1,"'","''") &amp; "'!C127"), "")</f>
        <v>1</v>
      </c>
      <c r="D39">
        <f ca="1">IFERROR(INDIRECT("'" &amp; SUBSTITUTE($D$1,"'","''") &amp; "'!B127"), "")</f>
        <v>16.66</v>
      </c>
      <c r="E39">
        <f ca="1">IFERROR(INDIRECT("'" &amp; SUBSTITUTE($D$1,"'","''") &amp; "'!C127"), "")</f>
        <v>30</v>
      </c>
      <c r="F39">
        <f ca="1">IFERROR(INDIRECT("'" &amp; SUBSTITUTE($F$1,"'","''") &amp; "'!B127"), "")</f>
        <v>12.12</v>
      </c>
      <c r="G39">
        <f ca="1">IFERROR(INDIRECT("'" &amp; SUBSTITUTE($F$1,"'","''") &amp; "'!C127"), "")</f>
        <v>8</v>
      </c>
      <c r="H39">
        <f ca="1">IFERROR(INDIRECT("'" &amp; SUBSTITUTE($H$1,"'","''") &amp; "'!B127"), "")</f>
        <v>18.55</v>
      </c>
      <c r="I39">
        <f ca="1">IFERROR(INDIRECT("'" &amp; SUBSTITUTE($H$1,"'","''") &amp; "'!C127"), "")</f>
        <v>46</v>
      </c>
      <c r="J39">
        <f ca="1">IFERROR(INDIRECT("'" &amp; SUBSTITUTE($J$1,"'","''") &amp; "'!B127"), "")</f>
        <v>37.03</v>
      </c>
      <c r="K39">
        <f ca="1">IFERROR(INDIRECT("'" &amp; SUBSTITUTE($J$1,"'","''") &amp; "'!C127"), "")</f>
        <v>88</v>
      </c>
      <c r="L39">
        <f ca="1">IFERROR(INDIRECT("'" &amp; SUBSTITUTE($L$1,"'","''") &amp; "'!B127"), "")</f>
        <v>29.39</v>
      </c>
      <c r="M39">
        <f ca="1">IFERROR(INDIRECT("'" &amp; SUBSTITUTE($L$1,"'","''") &amp; "'!C127"), "")</f>
        <v>93</v>
      </c>
      <c r="N39">
        <f ca="1">IFERROR(INDIRECT("'" &amp; SUBSTITUTE($N$1,"'","''") &amp; "'!B127"), "")</f>
        <v>16.68</v>
      </c>
      <c r="O39">
        <f ca="1">IFERROR(INDIRECT("'" &amp; SUBSTITUTE($N$1,"'","''") &amp; "'!C127"), "")</f>
        <v>50</v>
      </c>
      <c r="P39">
        <f ca="1">IFERROR(INDIRECT("'" &amp; SUBSTITUTE($P$1,"'","''") &amp; "'!B127"), "")</f>
        <v>12.37</v>
      </c>
      <c r="Q39">
        <f ca="1">IFERROR(INDIRECT("'" &amp; SUBSTITUTE($P$1,"'","''") &amp; "'!C127"), "")</f>
        <v>25</v>
      </c>
      <c r="R39">
        <f ca="1">IFERROR(INDIRECT("'" &amp; SUBSTITUTE($R$1,"'","''") &amp; "'!B127"), "")</f>
        <v>24.27</v>
      </c>
      <c r="S39">
        <f ca="1">IFERROR(INDIRECT("'" &amp; SUBSTITUTE($R$1,"'","''") &amp; "'!C127"), "")</f>
        <v>89</v>
      </c>
      <c r="T39">
        <f ca="1">IFERROR(INDIRECT("'" &amp; SUBSTITUTE($T$1,"'","''") &amp; "'!B127"), "")</f>
        <v>27.61</v>
      </c>
      <c r="U39">
        <f ca="1">IFERROR(INDIRECT("'" &amp; SUBSTITUTE($T$1,"'","''") &amp; "'!C127"), "")</f>
        <v>95</v>
      </c>
      <c r="V39">
        <f ca="1">IFERROR(INDIRECT("'" &amp; SUBSTITUTE($V$1,"'","''") &amp; "'!B127"), "")</f>
        <v>17.36</v>
      </c>
      <c r="W39">
        <f ca="1">IFERROR(INDIRECT("'" &amp; SUBSTITUTE($V$1,"'","''") &amp; "'!C127"), "")</f>
        <v>58</v>
      </c>
      <c r="X39">
        <f ca="1">IFERROR(INDIRECT("'" &amp; SUBSTITUTE($X$1,"'","''") &amp; "'!B127"), "")</f>
        <v>15.14</v>
      </c>
      <c r="Y39">
        <f ca="1">IFERROR(INDIRECT("'" &amp; SUBSTITUTE($X$1,"'","''") &amp; "'!C127"), "")</f>
        <v>46</v>
      </c>
    </row>
    <row r="40" spans="1:25" x14ac:dyDescent="0.2">
      <c r="A40" t="s">
        <v>38</v>
      </c>
      <c r="B40">
        <f ca="1">IFERROR(INDIRECT("'" &amp; SUBSTITUTE($B$1,"'","''") &amp; "'!B130"), "")</f>
        <v>0.71899999999999997</v>
      </c>
      <c r="C40">
        <f ca="1">IFERROR(INDIRECT("'" &amp; SUBSTITUTE($B$1,"'","''") &amp; "'!C130"), "")</f>
        <v>1</v>
      </c>
      <c r="D40">
        <f ca="1">IFERROR(INDIRECT("'" &amp; SUBSTITUTE($D$1,"'","''") &amp; "'!B130"), "")</f>
        <v>0.86699999999999999</v>
      </c>
      <c r="E40">
        <f ca="1">IFERROR(INDIRECT("'" &amp; SUBSTITUTE($D$1,"'","''") &amp; "'!C130"), "")</f>
        <v>39</v>
      </c>
      <c r="F40">
        <f ca="1">IFERROR(INDIRECT("'" &amp; SUBSTITUTE($F$1,"'","''") &amp; "'!B130"), "")</f>
        <v>0.79700000000000004</v>
      </c>
      <c r="G40">
        <f ca="1">IFERROR(INDIRECT("'" &amp; SUBSTITUTE($F$1,"'","''") &amp; "'!C130"), "")</f>
        <v>7</v>
      </c>
      <c r="H40">
        <f ca="1">IFERROR(INDIRECT("'" &amp; SUBSTITUTE($H$1,"'","''") &amp; "'!B130"), "")</f>
        <v>0.94499999999999995</v>
      </c>
      <c r="I40">
        <f ca="1">IFERROR(INDIRECT("'" &amp; SUBSTITUTE($H$1,"'","''") &amp; "'!C130"), "")</f>
        <v>96</v>
      </c>
      <c r="J40">
        <f ca="1">IFERROR(INDIRECT("'" &amp; SUBSTITUTE($J$1,"'","''") &amp; "'!B130"), "")</f>
        <v>0.94499999999999995</v>
      </c>
      <c r="K40">
        <f ca="1">IFERROR(INDIRECT("'" &amp; SUBSTITUTE($J$1,"'","''") &amp; "'!C130"), "")</f>
        <v>72</v>
      </c>
      <c r="L40">
        <f ca="1">IFERROR(INDIRECT("'" &amp; SUBSTITUTE($L$1,"'","''") &amp; "'!B130"), "")</f>
        <v>0.90500000000000003</v>
      </c>
      <c r="M40">
        <f ca="1">IFERROR(INDIRECT("'" &amp; SUBSTITUTE($L$1,"'","''") &amp; "'!C130"), "")</f>
        <v>82</v>
      </c>
      <c r="N40">
        <f ca="1">IFERROR(INDIRECT("'" &amp; SUBSTITUTE($N$1,"'","''") &amp; "'!B130"), "")</f>
        <v>0.88200000000000001</v>
      </c>
      <c r="O40">
        <f ca="1">IFERROR(INDIRECT("'" &amp; SUBSTITUTE($N$1,"'","''") &amp; "'!C130"), "")</f>
        <v>66</v>
      </c>
      <c r="P40">
        <f ca="1">IFERROR(INDIRECT("'" &amp; SUBSTITUTE($P$1,"'","''") &amp; "'!B130"), "")</f>
        <v>0.85499999999999998</v>
      </c>
      <c r="Q40">
        <f ca="1">IFERROR(INDIRECT("'" &amp; SUBSTITUTE($P$1,"'","''") &amp; "'!C130"), "")</f>
        <v>51</v>
      </c>
      <c r="R40">
        <f ca="1">IFERROR(INDIRECT("'" &amp; SUBSTITUTE($R$1,"'","''") &amp; "'!B130"), "")</f>
        <v>0.85799999999999998</v>
      </c>
      <c r="S40">
        <f ca="1">IFERROR(INDIRECT("'" &amp; SUBSTITUTE($R$1,"'","''") &amp; "'!C130"), "")</f>
        <v>54</v>
      </c>
      <c r="T40">
        <f ca="1">IFERROR(INDIRECT("'" &amp; SUBSTITUTE($T$1,"'","''") &amp; "'!B130"), "")</f>
        <v>0.89</v>
      </c>
      <c r="U40">
        <f ca="1">IFERROR(INDIRECT("'" &amp; SUBSTITUTE($T$1,"'","''") &amp; "'!C130"), "")</f>
        <v>78</v>
      </c>
      <c r="V40">
        <f ca="1">IFERROR(INDIRECT("'" &amp; SUBSTITUTE($V$1,"'","''") &amp; "'!B130"), "")</f>
        <v>0.873</v>
      </c>
      <c r="W40">
        <f ca="1">IFERROR(INDIRECT("'" &amp; SUBSTITUTE($V$1,"'","''") &amp; "'!C130"), "")</f>
        <v>59</v>
      </c>
      <c r="X40">
        <f ca="1">IFERROR(INDIRECT("'" &amp; SUBSTITUTE($X$1,"'","''") &amp; "'!B130"), "")</f>
        <v>0.91800000000000004</v>
      </c>
      <c r="Y40">
        <f ca="1">IFERROR(INDIRECT("'" &amp; SUBSTITUTE($X$1,"'","''") &amp; "'!C130"), "")</f>
        <v>91</v>
      </c>
    </row>
    <row r="41" spans="1:25" x14ac:dyDescent="0.2">
      <c r="A41" t="s">
        <v>39</v>
      </c>
      <c r="B41">
        <f ca="1">IFERROR(INDIRECT("'" &amp; SUBSTITUTE($B$1,"'","''") &amp; "'!B134"), "")</f>
        <v>0.49</v>
      </c>
      <c r="C41">
        <f ca="1">IFERROR(INDIRECT("'" &amp; SUBSTITUTE($B$1,"'","''") &amp; "'!C134"), "")</f>
        <v>1</v>
      </c>
      <c r="D41">
        <f ca="1">IFERROR(INDIRECT("'" &amp; SUBSTITUTE($D$1,"'","''") &amp; "'!B134"), "")</f>
        <v>2.4500000000000002</v>
      </c>
      <c r="E41">
        <f ca="1">IFERROR(INDIRECT("'" &amp; SUBSTITUTE($D$1,"'","''") &amp; "'!C134"), "")</f>
        <v>31</v>
      </c>
      <c r="F41">
        <f ca="1">IFERROR(INDIRECT("'" &amp; SUBSTITUTE($F$1,"'","''") &amp; "'!B134"), "")</f>
        <v>2.4</v>
      </c>
      <c r="G41">
        <f ca="1">IFERROR(INDIRECT("'" &amp; SUBSTITUTE($F$1,"'","''") &amp; "'!C134"), "")</f>
        <v>30</v>
      </c>
      <c r="H41">
        <f ca="1">IFERROR(INDIRECT("'" &amp; SUBSTITUTE($H$1,"'","''") &amp; "'!B134"), "")</f>
        <v>2.88</v>
      </c>
      <c r="I41">
        <f ca="1">IFERROR(INDIRECT("'" &amp; SUBSTITUTE($H$1,"'","''") &amp; "'!C134"), "")</f>
        <v>42</v>
      </c>
      <c r="J41">
        <f ca="1">IFERROR(INDIRECT("'" &amp; SUBSTITUTE($J$1,"'","''") &amp; "'!B134"), "")</f>
        <v>5.2</v>
      </c>
      <c r="K41">
        <f ca="1">IFERROR(INDIRECT("'" &amp; SUBSTITUTE($J$1,"'","''") &amp; "'!C134"), "")</f>
        <v>75</v>
      </c>
      <c r="L41">
        <f ca="1">IFERROR(INDIRECT("'" &amp; SUBSTITUTE($L$1,"'","''") &amp; "'!B134"), "")</f>
        <v>7.81</v>
      </c>
      <c r="M41">
        <f ca="1">IFERROR(INDIRECT("'" &amp; SUBSTITUTE($L$1,"'","''") &amp; "'!C134"), "")</f>
        <v>98</v>
      </c>
      <c r="N41">
        <f ca="1">IFERROR(INDIRECT("'" &amp; SUBSTITUTE($N$1,"'","''") &amp; "'!B134"), "")</f>
        <v>2.79</v>
      </c>
      <c r="O41">
        <f ca="1">IFERROR(INDIRECT("'" &amp; SUBSTITUTE($N$1,"'","''") &amp; "'!C134"), "")</f>
        <v>55</v>
      </c>
      <c r="P41">
        <f ca="1">IFERROR(INDIRECT("'" &amp; SUBSTITUTE($P$1,"'","''") &amp; "'!B134"), "")</f>
        <v>4.34</v>
      </c>
      <c r="Q41">
        <f ca="1">IFERROR(INDIRECT("'" &amp; SUBSTITUTE($P$1,"'","''") &amp; "'!C134"), "")</f>
        <v>81</v>
      </c>
      <c r="R41">
        <f ca="1">IFERROR(INDIRECT("'" &amp; SUBSTITUTE($R$1,"'","''") &amp; "'!B134"), "")</f>
        <v>4.5999999999999996</v>
      </c>
      <c r="S41">
        <f ca="1">IFERROR(INDIRECT("'" &amp; SUBSTITUTE($R$1,"'","''") &amp; "'!C134"), "")</f>
        <v>82</v>
      </c>
      <c r="T41">
        <f ca="1">IFERROR(INDIRECT("'" &amp; SUBSTITUTE($T$1,"'","''") &amp; "'!B134"), "")</f>
        <v>9.3000000000000007</v>
      </c>
      <c r="U41">
        <f ca="1">IFERROR(INDIRECT("'" &amp; SUBSTITUTE($T$1,"'","''") &amp; "'!C134"), "")</f>
        <v>98</v>
      </c>
      <c r="V41">
        <f ca="1">IFERROR(INDIRECT("'" &amp; SUBSTITUTE($V$1,"'","''") &amp; "'!B134"), "")</f>
        <v>2.5299999999999998</v>
      </c>
      <c r="W41">
        <f ca="1">IFERROR(INDIRECT("'" &amp; SUBSTITUTE($V$1,"'","''") &amp; "'!C134"), "")</f>
        <v>47</v>
      </c>
      <c r="X41">
        <f ca="1">IFERROR(INDIRECT("'" &amp; SUBSTITUTE($X$1,"'","''") &amp; "'!B134"), "")</f>
        <v>2.08</v>
      </c>
      <c r="Y41">
        <f ca="1">IFERROR(INDIRECT("'" &amp; SUBSTITUTE($X$1,"'","''") &amp; "'!C134"), "")</f>
        <v>33</v>
      </c>
    </row>
    <row r="42" spans="1:25" x14ac:dyDescent="0.2">
      <c r="A42" t="s">
        <v>40</v>
      </c>
      <c r="B42">
        <f ca="1">IFERROR(INDIRECT("'" &amp; SUBSTITUTE($B$1,"'","''") &amp; "'!B137"), "")</f>
        <v>1.1000000000000001</v>
      </c>
      <c r="C42">
        <f ca="1">IFERROR(INDIRECT("'" &amp; SUBSTITUTE($B$1,"'","''") &amp; "'!C137"), "")</f>
        <v>1</v>
      </c>
      <c r="D42">
        <f ca="1">IFERROR(INDIRECT("'" &amp; SUBSTITUTE($D$1,"'","''") &amp; "'!B137"), "")</f>
        <v>4.03</v>
      </c>
      <c r="E42">
        <f ca="1">IFERROR(INDIRECT("'" &amp; SUBSTITUTE($D$1,"'","''") &amp; "'!C137"), "")</f>
        <v>34</v>
      </c>
      <c r="F42">
        <f ca="1">IFERROR(INDIRECT("'" &amp; SUBSTITUTE($F$1,"'","''") &amp; "'!B137"), "")</f>
        <v>4.49</v>
      </c>
      <c r="G42">
        <f ca="1">IFERROR(INDIRECT("'" &amp; SUBSTITUTE($F$1,"'","''") &amp; "'!C137"), "")</f>
        <v>41</v>
      </c>
      <c r="H42">
        <f ca="1">IFERROR(INDIRECT("'" &amp; SUBSTITUTE($H$1,"'","''") &amp; "'!B137"), "")</f>
        <v>3.65</v>
      </c>
      <c r="I42">
        <f ca="1">IFERROR(INDIRECT("'" &amp; SUBSTITUTE($H$1,"'","''") &amp; "'!C137"), "")</f>
        <v>28</v>
      </c>
      <c r="J42">
        <f ca="1">IFERROR(INDIRECT("'" &amp; SUBSTITUTE($J$1,"'","''") &amp; "'!B137"), "")</f>
        <v>8.3699999999999992</v>
      </c>
      <c r="K42">
        <f ca="1">IFERROR(INDIRECT("'" &amp; SUBSTITUTE($J$1,"'","''") &amp; "'!C137"), "")</f>
        <v>73</v>
      </c>
      <c r="L42">
        <f ca="1">IFERROR(INDIRECT("'" &amp; SUBSTITUTE($L$1,"'","''") &amp; "'!B137"), "")</f>
        <v>13.11</v>
      </c>
      <c r="M42">
        <f ca="1">IFERROR(INDIRECT("'" &amp; SUBSTITUTE($L$1,"'","''") &amp; "'!C137"), "")</f>
        <v>99</v>
      </c>
      <c r="N42">
        <f ca="1">IFERROR(INDIRECT("'" &amp; SUBSTITUTE($N$1,"'","''") &amp; "'!B137"), "")</f>
        <v>4.43</v>
      </c>
      <c r="O42">
        <f ca="1">IFERROR(INDIRECT("'" &amp; SUBSTITUTE($N$1,"'","''") &amp; "'!C137"), "")</f>
        <v>46</v>
      </c>
      <c r="P42">
        <f ca="1">IFERROR(INDIRECT("'" &amp; SUBSTITUTE($P$1,"'","''") &amp; "'!B137"), "")</f>
        <v>6.31</v>
      </c>
      <c r="Q42">
        <f ca="1">IFERROR(INDIRECT("'" &amp; SUBSTITUTE($P$1,"'","''") &amp; "'!C137"), "")</f>
        <v>73</v>
      </c>
      <c r="R42">
        <f ca="1">IFERROR(INDIRECT("'" &amp; SUBSTITUTE($R$1,"'","''") &amp; "'!B137"), "")</f>
        <v>7.43</v>
      </c>
      <c r="S42">
        <f ca="1">IFERROR(INDIRECT("'" &amp; SUBSTITUTE($R$1,"'","''") &amp; "'!C137"), "")</f>
        <v>79</v>
      </c>
      <c r="T42">
        <f ca="1">IFERROR(INDIRECT("'" &amp; SUBSTITUTE($T$1,"'","''") &amp; "'!B137"), "")</f>
        <v>14.13</v>
      </c>
      <c r="U42">
        <f ca="1">IFERROR(INDIRECT("'" &amp; SUBSTITUTE($T$1,"'","''") &amp; "'!C137"), "")</f>
        <v>99</v>
      </c>
      <c r="V42">
        <f ca="1">IFERROR(INDIRECT("'" &amp; SUBSTITUTE($V$1,"'","''") &amp; "'!B137"), "")</f>
        <v>3.74</v>
      </c>
      <c r="W42">
        <f ca="1">IFERROR(INDIRECT("'" &amp; SUBSTITUTE($V$1,"'","''") &amp; "'!C137"), "")</f>
        <v>38</v>
      </c>
      <c r="X42">
        <f ca="1">IFERROR(INDIRECT("'" &amp; SUBSTITUTE($X$1,"'","''") &amp; "'!B137"), "")</f>
        <v>2.63</v>
      </c>
      <c r="Y42">
        <f ca="1">IFERROR(INDIRECT("'" &amp; SUBSTITUTE($X$1,"'","''") &amp; "'!C137"), "")</f>
        <v>17</v>
      </c>
    </row>
    <row r="43" spans="1:25" x14ac:dyDescent="0.2">
      <c r="A43" t="s">
        <v>41</v>
      </c>
      <c r="B43">
        <f ca="1">IFERROR(INDIRECT("'" &amp; SUBSTITUTE($B$1,"'","''") &amp; "'!B140"), "")</f>
        <v>0.441</v>
      </c>
      <c r="C43">
        <f ca="1">IFERROR(INDIRECT("'" &amp; SUBSTITUTE($B$1,"'","''") &amp; "'!C140"), "")</f>
        <v>2</v>
      </c>
      <c r="D43">
        <f ca="1">IFERROR(INDIRECT("'" &amp; SUBSTITUTE($D$1,"'","''") &amp; "'!B140"), "")</f>
        <v>0.60899999999999999</v>
      </c>
      <c r="E43">
        <f ca="1">IFERROR(INDIRECT("'" &amp; SUBSTITUTE($D$1,"'","''") &amp; "'!C140"), "")</f>
        <v>41</v>
      </c>
      <c r="F43">
        <f ca="1">IFERROR(INDIRECT("'" &amp; SUBSTITUTE($F$1,"'","''") &amp; "'!B140"), "")</f>
        <v>0.53500000000000003</v>
      </c>
      <c r="G43">
        <f ca="1">IFERROR(INDIRECT("'" &amp; SUBSTITUTE($F$1,"'","''") &amp; "'!C140"), "")</f>
        <v>18</v>
      </c>
      <c r="H43">
        <f ca="1">IFERROR(INDIRECT("'" &amp; SUBSTITUTE($H$1,"'","''") &amp; "'!B140"), "")</f>
        <v>0.78900000000000003</v>
      </c>
      <c r="I43">
        <f ca="1">IFERROR(INDIRECT("'" &amp; SUBSTITUTE($H$1,"'","''") &amp; "'!C140"), "")</f>
        <v>93</v>
      </c>
      <c r="J43">
        <f ca="1">IFERROR(INDIRECT("'" &amp; SUBSTITUTE($J$1,"'","''") &amp; "'!B140"), "")</f>
        <v>0.621</v>
      </c>
      <c r="K43">
        <f ca="1">IFERROR(INDIRECT("'" &amp; SUBSTITUTE($J$1,"'","''") &amp; "'!C140"), "")</f>
        <v>61</v>
      </c>
      <c r="L43">
        <f ca="1">IFERROR(INDIRECT("'" &amp; SUBSTITUTE($L$1,"'","''") &amp; "'!B140"), "")</f>
        <v>0.59599999999999997</v>
      </c>
      <c r="M43">
        <f ca="1">IFERROR(INDIRECT("'" &amp; SUBSTITUTE($L$1,"'","''") &amp; "'!C140"), "")</f>
        <v>52</v>
      </c>
      <c r="N43">
        <f ca="1">IFERROR(INDIRECT("'" &amp; SUBSTITUTE($N$1,"'","''") &amp; "'!B140"), "")</f>
        <v>0.63</v>
      </c>
      <c r="O43">
        <f ca="1">IFERROR(INDIRECT("'" &amp; SUBSTITUTE($N$1,"'","''") &amp; "'!C140"), "")</f>
        <v>64</v>
      </c>
      <c r="P43">
        <f ca="1">IFERROR(INDIRECT("'" &amp; SUBSTITUTE($P$1,"'","''") &amp; "'!B140"), "")</f>
        <v>0.68799999999999994</v>
      </c>
      <c r="Q43">
        <f ca="1">IFERROR(INDIRECT("'" &amp; SUBSTITUTE($P$1,"'","''") &amp; "'!C140"), "")</f>
        <v>72</v>
      </c>
      <c r="R43">
        <f ca="1">IFERROR(INDIRECT("'" &amp; SUBSTITUTE($R$1,"'","''") &amp; "'!B140"), "")</f>
        <v>0.61899999999999999</v>
      </c>
      <c r="S43">
        <f ca="1">IFERROR(INDIRECT("'" &amp; SUBSTITUTE($R$1,"'","''") &amp; "'!C140"), "")</f>
        <v>55</v>
      </c>
      <c r="T43">
        <f ca="1">IFERROR(INDIRECT("'" &amp; SUBSTITUTE($T$1,"'","''") &amp; "'!B140"), "")</f>
        <v>0.65800000000000003</v>
      </c>
      <c r="U43">
        <f ca="1">IFERROR(INDIRECT("'" &amp; SUBSTITUTE($T$1,"'","''") &amp; "'!C140"), "")</f>
        <v>65</v>
      </c>
      <c r="V43">
        <f ca="1">IFERROR(INDIRECT("'" &amp; SUBSTITUTE($V$1,"'","''") &amp; "'!B140"), "")</f>
        <v>0.67600000000000005</v>
      </c>
      <c r="W43">
        <f ca="1">IFERROR(INDIRECT("'" &amp; SUBSTITUTE($V$1,"'","''") &amp; "'!C140"), "")</f>
        <v>77</v>
      </c>
      <c r="X43">
        <f ca="1">IFERROR(INDIRECT("'" &amp; SUBSTITUTE($X$1,"'","''") &amp; "'!B140"), "")</f>
        <v>0.78900000000000003</v>
      </c>
      <c r="Y43">
        <f ca="1">IFERROR(INDIRECT("'" &amp; SUBSTITUTE($X$1,"'","''") &amp; "'!C140"), "")</f>
        <v>93</v>
      </c>
    </row>
    <row r="44" spans="1:25" x14ac:dyDescent="0.2">
      <c r="A44" t="s">
        <v>42</v>
      </c>
      <c r="B44">
        <f ca="1">IFERROR(INDIRECT("'" &amp; SUBSTITUTE($B$1,"'","''") &amp; "'!B149"), "")</f>
        <v>0.09</v>
      </c>
      <c r="C44">
        <f ca="1">IFERROR(INDIRECT("'" &amp; SUBSTITUTE($B$1,"'","''") &amp; "'!C149"), "")</f>
        <v>53</v>
      </c>
      <c r="D44">
        <f ca="1">IFERROR(INDIRECT("'" &amp; SUBSTITUTE($D$1,"'","''") &amp; "'!B149"), "")</f>
        <v>7.0000000000000007E-2</v>
      </c>
      <c r="E44">
        <f ca="1">IFERROR(INDIRECT("'" &amp; SUBSTITUTE($D$1,"'","''") &amp; "'!C149"), "")</f>
        <v>40</v>
      </c>
      <c r="F44">
        <f ca="1">IFERROR(INDIRECT("'" &amp; SUBSTITUTE($F$1,"'","''") &amp; "'!B149"), "")</f>
        <v>0.14000000000000001</v>
      </c>
      <c r="G44">
        <f ca="1">IFERROR(INDIRECT("'" &amp; SUBSTITUTE($F$1,"'","''") &amp; "'!C149"), "")</f>
        <v>80</v>
      </c>
      <c r="H44">
        <f ca="1">IFERROR(INDIRECT("'" &amp; SUBSTITUTE($H$1,"'","''") &amp; "'!B149"), "")</f>
        <v>0.02</v>
      </c>
      <c r="I44">
        <f ca="1">IFERROR(INDIRECT("'" &amp; SUBSTITUTE($H$1,"'","''") &amp; "'!C149"), "")</f>
        <v>1</v>
      </c>
      <c r="J44">
        <f ca="1">IFERROR(INDIRECT("'" &amp; SUBSTITUTE($J$1,"'","''") &amp; "'!B149"), "")</f>
        <v>0.05</v>
      </c>
      <c r="K44">
        <f ca="1">IFERROR(INDIRECT("'" &amp; SUBSTITUTE($J$1,"'","''") &amp; "'!C149"), "")</f>
        <v>79</v>
      </c>
      <c r="L44">
        <f ca="1">IFERROR(INDIRECT("'" &amp; SUBSTITUTE($L$1,"'","''") &amp; "'!B149"), "")</f>
        <v>7.0000000000000007E-2</v>
      </c>
      <c r="M44">
        <f ca="1">IFERROR(INDIRECT("'" &amp; SUBSTITUTE($L$1,"'","''") &amp; "'!C149"), "")</f>
        <v>29</v>
      </c>
      <c r="N44">
        <f ca="1">IFERROR(INDIRECT("'" &amp; SUBSTITUTE($N$1,"'","''") &amp; "'!B149"), "")</f>
        <v>0.04</v>
      </c>
      <c r="O44">
        <f ca="1">IFERROR(INDIRECT("'" &amp; SUBSTITUTE($N$1,"'","''") &amp; "'!C149"), "")</f>
        <v>15</v>
      </c>
      <c r="P44">
        <f ca="1">IFERROR(INDIRECT("'" &amp; SUBSTITUTE($P$1,"'","''") &amp; "'!B149"), "")</f>
        <v>0.05</v>
      </c>
      <c r="Q44">
        <f ca="1">IFERROR(INDIRECT("'" &amp; SUBSTITUTE($P$1,"'","''") &amp; "'!C149"), "")</f>
        <v>28</v>
      </c>
      <c r="R44">
        <f ca="1">IFERROR(INDIRECT("'" &amp; SUBSTITUTE($R$1,"'","''") &amp; "'!B149"), "")</f>
        <v>0.1</v>
      </c>
      <c r="S44">
        <f ca="1">IFERROR(INDIRECT("'" &amp; SUBSTITUTE($R$1,"'","''") &amp; "'!C149"), "")</f>
        <v>55</v>
      </c>
      <c r="T44">
        <f ca="1">IFERROR(INDIRECT("'" &amp; SUBSTITUTE($T$1,"'","''") &amp; "'!B149"), "")</f>
        <v>0.04</v>
      </c>
      <c r="U44">
        <f ca="1">IFERROR(INDIRECT("'" &amp; SUBSTITUTE($T$1,"'","''") &amp; "'!C149"), "")</f>
        <v>26</v>
      </c>
      <c r="V44">
        <f ca="1">IFERROR(INDIRECT("'" &amp; SUBSTITUTE($V$1,"'","''") &amp; "'!B149"), "")</f>
        <v>0.03</v>
      </c>
      <c r="W44">
        <f ca="1">IFERROR(INDIRECT("'" &amp; SUBSTITUTE($V$1,"'","''") &amp; "'!C149"), "")</f>
        <v>8</v>
      </c>
      <c r="X44">
        <f ca="1">IFERROR(INDIRECT("'" &amp; SUBSTITUTE($X$1,"'","''") &amp; "'!B149"), "")</f>
        <v>0.02</v>
      </c>
      <c r="Y44">
        <f ca="1">IFERROR(INDIRECT("'" &amp; SUBSTITUTE($X$1,"'","''") &amp; "'!C149"), "")</f>
        <v>5</v>
      </c>
    </row>
    <row r="45" spans="1:25" x14ac:dyDescent="0.2">
      <c r="A45" t="s">
        <v>43</v>
      </c>
      <c r="B45">
        <f ca="1">IFERROR(INDIRECT("'" &amp; SUBSTITUTE($B$1,"'","''") &amp; "'!B152"), "")</f>
        <v>0.84</v>
      </c>
      <c r="C45">
        <f ca="1">IFERROR(INDIRECT("'" &amp; SUBSTITUTE($B$1,"'","''") &amp; "'!C152"), "")</f>
        <v>50</v>
      </c>
      <c r="D45">
        <f ca="1">IFERROR(INDIRECT("'" &amp; SUBSTITUTE($D$1,"'","''") &amp; "'!B152"), "")</f>
        <v>0.7</v>
      </c>
      <c r="E45">
        <f ca="1">IFERROR(INDIRECT("'" &amp; SUBSTITUTE($D$1,"'","''") &amp; "'!C152"), "")</f>
        <v>36</v>
      </c>
      <c r="F45">
        <f ca="1">IFERROR(INDIRECT("'" &amp; SUBSTITUTE($F$1,"'","''") &amp; "'!B152"), "")</f>
        <v>1.25</v>
      </c>
      <c r="G45">
        <f ca="1">IFERROR(INDIRECT("'" &amp; SUBSTITUTE($F$1,"'","''") &amp; "'!C152"), "")</f>
        <v>73</v>
      </c>
      <c r="H45">
        <f ca="1">IFERROR(INDIRECT("'" &amp; SUBSTITUTE($H$1,"'","''") &amp; "'!B152"), "")</f>
        <v>0.51</v>
      </c>
      <c r="I45">
        <f ca="1">IFERROR(INDIRECT("'" &amp; SUBSTITUTE($H$1,"'","''") &amp; "'!C152"), "")</f>
        <v>12</v>
      </c>
      <c r="J45">
        <f ca="1">IFERROR(INDIRECT("'" &amp; SUBSTITUTE($J$1,"'","''") &amp; "'!B152"), "")</f>
        <v>0.37</v>
      </c>
      <c r="K45">
        <f ca="1">IFERROR(INDIRECT("'" &amp; SUBSTITUTE($J$1,"'","''") &amp; "'!C152"), "")</f>
        <v>77</v>
      </c>
      <c r="L45">
        <f ca="1">IFERROR(INDIRECT("'" &amp; SUBSTITUTE($L$1,"'","''") &amp; "'!B152"), "")</f>
        <v>0.59</v>
      </c>
      <c r="M45">
        <f ca="1">IFERROR(INDIRECT("'" &amp; SUBSTITUTE($L$1,"'","''") &amp; "'!C152"), "")</f>
        <v>15</v>
      </c>
      <c r="N45">
        <f ca="1">IFERROR(INDIRECT("'" &amp; SUBSTITUTE($N$1,"'","''") &amp; "'!B152"), "")</f>
        <v>0.61</v>
      </c>
      <c r="O45">
        <f ca="1">IFERROR(INDIRECT("'" &amp; SUBSTITUTE($N$1,"'","''") &amp; "'!C152"), "")</f>
        <v>17</v>
      </c>
      <c r="P45">
        <f ca="1">IFERROR(INDIRECT("'" &amp; SUBSTITUTE($P$1,"'","''") &amp; "'!B152"), "")</f>
        <v>0.99</v>
      </c>
      <c r="Q45">
        <f ca="1">IFERROR(INDIRECT("'" &amp; SUBSTITUTE($P$1,"'","''") &amp; "'!C152"), "")</f>
        <v>51</v>
      </c>
      <c r="R45">
        <f ca="1">IFERROR(INDIRECT("'" &amp; SUBSTITUTE($R$1,"'","''") &amp; "'!B152"), "")</f>
        <v>1.82</v>
      </c>
      <c r="S45">
        <f ca="1">IFERROR(INDIRECT("'" &amp; SUBSTITUTE($R$1,"'","''") &amp; "'!C152"), "")</f>
        <v>90</v>
      </c>
      <c r="T45">
        <f ca="1">IFERROR(INDIRECT("'" &amp; SUBSTITUTE($T$1,"'","''") &amp; "'!B152"), "")</f>
        <v>0.95</v>
      </c>
      <c r="U45">
        <f ca="1">IFERROR(INDIRECT("'" &amp; SUBSTITUTE($T$1,"'","''") &amp; "'!C152"), "")</f>
        <v>50</v>
      </c>
      <c r="V45">
        <f ca="1">IFERROR(INDIRECT("'" &amp; SUBSTITUTE($V$1,"'","''") &amp; "'!B152"), "")</f>
        <v>0.66</v>
      </c>
      <c r="W45">
        <f ca="1">IFERROR(INDIRECT("'" &amp; SUBSTITUTE($V$1,"'","''") &amp; "'!C152"), "")</f>
        <v>22</v>
      </c>
      <c r="X45">
        <f ca="1">IFERROR(INDIRECT("'" &amp; SUBSTITUTE($X$1,"'","''") &amp; "'!B152"), "")</f>
        <v>0.51</v>
      </c>
      <c r="Y45">
        <f ca="1">IFERROR(INDIRECT("'" &amp; SUBSTITUTE($X$1,"'","''") &amp; "'!C152"), "")</f>
        <v>13</v>
      </c>
    </row>
    <row r="46" spans="1:25" x14ac:dyDescent="0.2">
      <c r="A46" t="s">
        <v>44</v>
      </c>
      <c r="B46">
        <f ca="1">IFERROR(INDIRECT("'" &amp; SUBSTITUTE($B$1,"'","''") &amp; "'!B155"), "")</f>
        <v>0.78</v>
      </c>
      <c r="C46">
        <f ca="1">IFERROR(INDIRECT("'" &amp; SUBSTITUTE($B$1,"'","''") &amp; "'!C155"), "")</f>
        <v>1</v>
      </c>
      <c r="D46">
        <f ca="1">IFERROR(INDIRECT("'" &amp; SUBSTITUTE($D$1,"'","''") &amp; "'!B155"), "")</f>
        <v>3.91</v>
      </c>
      <c r="E46">
        <f ca="1">IFERROR(INDIRECT("'" &amp; SUBSTITUTE($D$1,"'","''") &amp; "'!C155"), "")</f>
        <v>43</v>
      </c>
      <c r="F46">
        <f ca="1">IFERROR(INDIRECT("'" &amp; SUBSTITUTE($F$1,"'","''") &amp; "'!B155"), "")</f>
        <v>1.67</v>
      </c>
      <c r="G46">
        <f ca="1">IFERROR(INDIRECT("'" &amp; SUBSTITUTE($F$1,"'","''") &amp; "'!C155"), "")</f>
        <v>2</v>
      </c>
      <c r="H46">
        <f ca="1">IFERROR(INDIRECT("'" &amp; SUBSTITUTE($H$1,"'","''") &amp; "'!B155"), "")</f>
        <v>4.09</v>
      </c>
      <c r="I46">
        <f ca="1">IFERROR(INDIRECT("'" &amp; SUBSTITUTE($H$1,"'","''") &amp; "'!C155"), "")</f>
        <v>49</v>
      </c>
      <c r="J46">
        <f ca="1">IFERROR(INDIRECT("'" &amp; SUBSTITUTE($J$1,"'","''") &amp; "'!B155"), "")</f>
        <v>5.23</v>
      </c>
      <c r="K46">
        <f ca="1">IFERROR(INDIRECT("'" &amp; SUBSTITUTE($J$1,"'","''") &amp; "'!C155"), "")</f>
        <v>86</v>
      </c>
      <c r="L46">
        <f ca="1">IFERROR(INDIRECT("'" &amp; SUBSTITUTE($L$1,"'","''") &amp; "'!B155"), "")</f>
        <v>6.33</v>
      </c>
      <c r="M46">
        <f ca="1">IFERROR(INDIRECT("'" &amp; SUBSTITUTE($L$1,"'","''") &amp; "'!C155"), "")</f>
        <v>91</v>
      </c>
      <c r="N46">
        <f ca="1">IFERROR(INDIRECT("'" &amp; SUBSTITUTE($N$1,"'","''") &amp; "'!B155"), "")</f>
        <v>1.97</v>
      </c>
      <c r="O46">
        <f ca="1">IFERROR(INDIRECT("'" &amp; SUBSTITUTE($N$1,"'","''") &amp; "'!C155"), "")</f>
        <v>16</v>
      </c>
      <c r="P46">
        <f ca="1">IFERROR(INDIRECT("'" &amp; SUBSTITUTE($P$1,"'","''") &amp; "'!B155"), "")</f>
        <v>2.5499999999999998</v>
      </c>
      <c r="Q46">
        <f ca="1">IFERROR(INDIRECT("'" &amp; SUBSTITUTE($P$1,"'","''") &amp; "'!C155"), "")</f>
        <v>25</v>
      </c>
      <c r="R46">
        <f ca="1">IFERROR(INDIRECT("'" &amp; SUBSTITUTE($R$1,"'","''") &amp; "'!B155"), "")</f>
        <v>5.31</v>
      </c>
      <c r="S46">
        <f ca="1">IFERROR(INDIRECT("'" &amp; SUBSTITUTE($R$1,"'","''") &amp; "'!C155"), "")</f>
        <v>82</v>
      </c>
      <c r="T46">
        <f ca="1">IFERROR(INDIRECT("'" &amp; SUBSTITUTE($T$1,"'","''") &amp; "'!B155"), "")</f>
        <v>6.02</v>
      </c>
      <c r="U46">
        <f ca="1">IFERROR(INDIRECT("'" &amp; SUBSTITUTE($T$1,"'","''") &amp; "'!C155"), "")</f>
        <v>88</v>
      </c>
      <c r="V46">
        <f ca="1">IFERROR(INDIRECT("'" &amp; SUBSTITUTE($V$1,"'","''") &amp; "'!B155"), "")</f>
        <v>3.74</v>
      </c>
      <c r="W46">
        <f ca="1">IFERROR(INDIRECT("'" &amp; SUBSTITUTE($V$1,"'","''") &amp; "'!C155"), "")</f>
        <v>59</v>
      </c>
      <c r="X46">
        <f ca="1">IFERROR(INDIRECT("'" &amp; SUBSTITUTE($X$1,"'","''") &amp; "'!B155"), "")</f>
        <v>2.4</v>
      </c>
      <c r="Y46">
        <f ca="1">IFERROR(INDIRECT("'" &amp; SUBSTITUTE($X$1,"'","''") &amp; "'!C155"), "")</f>
        <v>29</v>
      </c>
    </row>
    <row r="47" spans="1:25" x14ac:dyDescent="0.2">
      <c r="A47" t="s">
        <v>45</v>
      </c>
      <c r="B47">
        <f ca="1">IFERROR(INDIRECT("'" &amp; SUBSTITUTE($B$1,"'","''") &amp; "'!B158"), "")</f>
        <v>0.26</v>
      </c>
      <c r="C47">
        <f ca="1">IFERROR(INDIRECT("'" &amp; SUBSTITUTE($B$1,"'","''") &amp; "'!C158"), "")</f>
        <v>8</v>
      </c>
      <c r="D47">
        <f ca="1">IFERROR(INDIRECT("'" &amp; SUBSTITUTE($D$1,"'","''") &amp; "'!B158"), "")</f>
        <v>1.06</v>
      </c>
      <c r="E47">
        <f ca="1">IFERROR(INDIRECT("'" &amp; SUBSTITUTE($D$1,"'","''") &amp; "'!C158"), "")</f>
        <v>79</v>
      </c>
      <c r="F47">
        <f ca="1">IFERROR(INDIRECT("'" &amp; SUBSTITUTE($F$1,"'","''") &amp; "'!B158"), "")</f>
        <v>1.36</v>
      </c>
      <c r="G47">
        <f ca="1">IFERROR(INDIRECT("'" &amp; SUBSTITUTE($F$1,"'","''") &amp; "'!C158"), "")</f>
        <v>89</v>
      </c>
      <c r="H47">
        <f ca="1">IFERROR(INDIRECT("'" &amp; SUBSTITUTE($H$1,"'","''") &amp; "'!B158"), "")</f>
        <v>0.22</v>
      </c>
      <c r="I47">
        <f ca="1">IFERROR(INDIRECT("'" &amp; SUBSTITUTE($H$1,"'","''") &amp; "'!C158"), "")</f>
        <v>6</v>
      </c>
      <c r="J47">
        <f ca="1">IFERROR(INDIRECT("'" &amp; SUBSTITUTE($J$1,"'","''") &amp; "'!B158"), "")</f>
        <v>0.43</v>
      </c>
      <c r="K47">
        <f ca="1">IFERROR(INDIRECT("'" &amp; SUBSTITUTE($J$1,"'","''") &amp; "'!C158"), "")</f>
        <v>87</v>
      </c>
      <c r="L47">
        <f ca="1">IFERROR(INDIRECT("'" &amp; SUBSTITUTE($L$1,"'","''") &amp; "'!B158"), "")</f>
        <v>0.52</v>
      </c>
      <c r="M47">
        <f ca="1">IFERROR(INDIRECT("'" &amp; SUBSTITUTE($L$1,"'","''") &amp; "'!C158"), "")</f>
        <v>21</v>
      </c>
      <c r="N47">
        <f ca="1">IFERROR(INDIRECT("'" &amp; SUBSTITUTE($N$1,"'","''") &amp; "'!B158"), "")</f>
        <v>0.24</v>
      </c>
      <c r="O47">
        <f ca="1">IFERROR(INDIRECT("'" &amp; SUBSTITUTE($N$1,"'","''") &amp; "'!C158"), "")</f>
        <v>9</v>
      </c>
      <c r="P47">
        <f ca="1">IFERROR(INDIRECT("'" &amp; SUBSTITUTE($P$1,"'","''") &amp; "'!B158"), "")</f>
        <v>0.69</v>
      </c>
      <c r="Q47">
        <f ca="1">IFERROR(INDIRECT("'" &amp; SUBSTITUTE($P$1,"'","''") &amp; "'!C158"), "")</f>
        <v>40</v>
      </c>
      <c r="R47">
        <f ca="1">IFERROR(INDIRECT("'" &amp; SUBSTITUTE($R$1,"'","''") &amp; "'!B158"), "")</f>
        <v>1.1599999999999999</v>
      </c>
      <c r="S47">
        <f ca="1">IFERROR(INDIRECT("'" &amp; SUBSTITUTE($R$1,"'","''") &amp; "'!C158"), "")</f>
        <v>70</v>
      </c>
      <c r="T47">
        <f ca="1">IFERROR(INDIRECT("'" &amp; SUBSTITUTE($T$1,"'","''") &amp; "'!B158"), "")</f>
        <v>0.45</v>
      </c>
      <c r="U47">
        <f ca="1">IFERROR(INDIRECT("'" &amp; SUBSTITUTE($T$1,"'","''") &amp; "'!C158"), "")</f>
        <v>27</v>
      </c>
      <c r="V47">
        <f ca="1">IFERROR(INDIRECT("'" &amp; SUBSTITUTE($V$1,"'","''") &amp; "'!B158"), "")</f>
        <v>0.77</v>
      </c>
      <c r="W47">
        <f ca="1">IFERROR(INDIRECT("'" &amp; SUBSTITUTE($V$1,"'","''") &amp; "'!C158"), "")</f>
        <v>40</v>
      </c>
      <c r="X47">
        <f ca="1">IFERROR(INDIRECT("'" &amp; SUBSTITUTE($X$1,"'","''") &amp; "'!B158"), "")</f>
        <v>0.18</v>
      </c>
      <c r="Y47">
        <f ca="1">IFERROR(INDIRECT("'" &amp; SUBSTITUTE($X$1,"'","''") &amp; "'!C158"), "")</f>
        <v>4</v>
      </c>
    </row>
    <row r="48" spans="1:25" x14ac:dyDescent="0.2">
      <c r="A48" t="s">
        <v>46</v>
      </c>
      <c r="B48">
        <f ca="1">IFERROR(INDIRECT("'" &amp; SUBSTITUTE($B$1,"'","''") &amp; "'!B161"), "")</f>
        <v>0.16</v>
      </c>
      <c r="C48">
        <f ca="1">IFERROR(INDIRECT("'" &amp; SUBSTITUTE($B$1,"'","''") &amp; "'!C161"), "")</f>
        <v>69</v>
      </c>
      <c r="D48">
        <f ca="1">IFERROR(INDIRECT("'" &amp; SUBSTITUTE($D$1,"'","''") &amp; "'!B161"), "")</f>
        <v>0.18</v>
      </c>
      <c r="E48">
        <f ca="1">IFERROR(INDIRECT("'" &amp; SUBSTITUTE($D$1,"'","''") &amp; "'!C161"), "")</f>
        <v>75</v>
      </c>
      <c r="F48">
        <f ca="1">IFERROR(INDIRECT("'" &amp; SUBSTITUTE($F$1,"'","''") &amp; "'!B161"), "")</f>
        <v>0.42</v>
      </c>
      <c r="G48">
        <f ca="1">IFERROR(INDIRECT("'" &amp; SUBSTITUTE($F$1,"'","''") &amp; "'!C161"), "")</f>
        <v>96</v>
      </c>
      <c r="H48">
        <f ca="1">IFERROR(INDIRECT("'" &amp; SUBSTITUTE($H$1,"'","''") &amp; "'!B161"), "")</f>
        <v>0.03</v>
      </c>
      <c r="I48">
        <f ca="1">IFERROR(INDIRECT("'" &amp; SUBSTITUTE($H$1,"'","''") &amp; "'!C161"), "")</f>
        <v>18</v>
      </c>
      <c r="J48">
        <f ca="1">IFERROR(INDIRECT("'" &amp; SUBSTITUTE($J$1,"'","''") &amp; "'!B161"), "")</f>
        <v>0.09</v>
      </c>
      <c r="K48">
        <f ca="1">IFERROR(INDIRECT("'" &amp; SUBSTITUTE($J$1,"'","''") &amp; "'!C161"), "")</f>
        <v>80</v>
      </c>
      <c r="L48">
        <f ca="1">IFERROR(INDIRECT("'" &amp; SUBSTITUTE($L$1,"'","''") &amp; "'!B161"), "")</f>
        <v>0.15</v>
      </c>
      <c r="M48">
        <f ca="1">IFERROR(INDIRECT("'" &amp; SUBSTITUTE($L$1,"'","''") &amp; "'!C161"), "")</f>
        <v>56</v>
      </c>
      <c r="N48">
        <f ca="1">IFERROR(INDIRECT("'" &amp; SUBSTITUTE($N$1,"'","''") &amp; "'!B161"), "")</f>
        <v>0.09</v>
      </c>
      <c r="O48">
        <f ca="1">IFERROR(INDIRECT("'" &amp; SUBSTITUTE($N$1,"'","''") &amp; "'!C161"), "")</f>
        <v>38</v>
      </c>
      <c r="P48">
        <f ca="1">IFERROR(INDIRECT("'" &amp; SUBSTITUTE($P$1,"'","''") &amp; "'!B161"), "")</f>
        <v>0.26</v>
      </c>
      <c r="Q48">
        <f ca="1">IFERROR(INDIRECT("'" &amp; SUBSTITUTE($P$1,"'","''") &amp; "'!C161"), "")</f>
        <v>73</v>
      </c>
      <c r="R48">
        <f ca="1">IFERROR(INDIRECT("'" &amp; SUBSTITUTE($R$1,"'","''") &amp; "'!B161"), "")</f>
        <v>0.2</v>
      </c>
      <c r="S48">
        <f ca="1">IFERROR(INDIRECT("'" &amp; SUBSTITUTE($R$1,"'","''") &amp; "'!C161"), "")</f>
        <v>69</v>
      </c>
      <c r="T48">
        <f ca="1">IFERROR(INDIRECT("'" &amp; SUBSTITUTE($T$1,"'","''") &amp; "'!B161"), "")</f>
        <v>0.03</v>
      </c>
      <c r="U48">
        <f ca="1">IFERROR(INDIRECT("'" &amp; SUBSTITUTE($T$1,"'","''") &amp; "'!C161"), "")</f>
        <v>24</v>
      </c>
      <c r="V48">
        <f ca="1">IFERROR(INDIRECT("'" &amp; SUBSTITUTE($V$1,"'","''") &amp; "'!B161"), "")</f>
        <v>0.33</v>
      </c>
      <c r="W48">
        <f ca="1">IFERROR(INDIRECT("'" &amp; SUBSTITUTE($V$1,"'","''") &amp; "'!C161"), "")</f>
        <v>82</v>
      </c>
      <c r="X48">
        <f ca="1">IFERROR(INDIRECT("'" &amp; SUBSTITUTE($X$1,"'","''") &amp; "'!B161"), "")</f>
        <v>0</v>
      </c>
      <c r="Y48">
        <f ca="1">IFERROR(INDIRECT("'" &amp; SUBSTITUTE($X$1,"'","''") &amp; "'!C161"), "")</f>
        <v>9</v>
      </c>
    </row>
    <row r="49" spans="1:25" x14ac:dyDescent="0.2">
      <c r="A49" t="s">
        <v>47</v>
      </c>
      <c r="B49">
        <f ca="1">IFERROR(INDIRECT("'" &amp; SUBSTITUTE($B$1,"'","''") &amp; "'!B173"), "")</f>
        <v>18.579999999999998</v>
      </c>
      <c r="C49">
        <f ca="1">IFERROR(INDIRECT("'" &amp; SUBSTITUTE($B$1,"'","''") &amp; "'!C173"), "")</f>
        <v>1</v>
      </c>
      <c r="D49">
        <f ca="1">IFERROR(INDIRECT("'" &amp; SUBSTITUTE($D$1,"'","''") &amp; "'!B173"), "")</f>
        <v>49.63</v>
      </c>
      <c r="E49">
        <f ca="1">IFERROR(INDIRECT("'" &amp; SUBSTITUTE($D$1,"'","''") &amp; "'!C173"), "")</f>
        <v>61</v>
      </c>
      <c r="F49">
        <f ca="1">IFERROR(INDIRECT("'" &amp; SUBSTITUTE($F$1,"'","''") &amp; "'!B173"), "")</f>
        <v>32.909999999999997</v>
      </c>
      <c r="G49">
        <f ca="1">IFERROR(INDIRECT("'" &amp; SUBSTITUTE($F$1,"'","''") &amp; "'!C173"), "")</f>
        <v>8</v>
      </c>
      <c r="H49">
        <f ca="1">IFERROR(INDIRECT("'" &amp; SUBSTITUTE($H$1,"'","''") &amp; "'!B173"), "")</f>
        <v>47.69</v>
      </c>
      <c r="I49">
        <f ca="1">IFERROR(INDIRECT("'" &amp; SUBSTITUTE($H$1,"'","''") &amp; "'!C173"), "")</f>
        <v>55</v>
      </c>
      <c r="J49">
        <f ca="1">IFERROR(INDIRECT("'" &amp; SUBSTITUTE($J$1,"'","''") &amp; "'!B173"), "")</f>
        <v>67.77</v>
      </c>
      <c r="K49">
        <f ca="1">IFERROR(INDIRECT("'" &amp; SUBSTITUTE($J$1,"'","''") &amp; "'!C173"), "")</f>
        <v>88</v>
      </c>
      <c r="L49">
        <f ca="1">IFERROR(INDIRECT("'" &amp; SUBSTITUTE($L$1,"'","''") &amp; "'!B173"), "")</f>
        <v>64.66</v>
      </c>
      <c r="M49">
        <f ca="1">IFERROR(INDIRECT("'" &amp; SUBSTITUTE($L$1,"'","''") &amp; "'!C173"), "")</f>
        <v>85</v>
      </c>
      <c r="N49">
        <f ca="1">IFERROR(INDIRECT("'" &amp; SUBSTITUTE($N$1,"'","''") &amp; "'!B173"), "")</f>
        <v>43.42</v>
      </c>
      <c r="O49">
        <f ca="1">IFERROR(INDIRECT("'" &amp; SUBSTITUTE($N$1,"'","''") &amp; "'!C173"), "")</f>
        <v>54</v>
      </c>
      <c r="P49">
        <f ca="1">IFERROR(INDIRECT("'" &amp; SUBSTITUTE($P$1,"'","''") &amp; "'!B173"), "")</f>
        <v>36.26</v>
      </c>
      <c r="Q49">
        <f ca="1">IFERROR(INDIRECT("'" &amp; SUBSTITUTE($P$1,"'","''") &amp; "'!C173"), "")</f>
        <v>30</v>
      </c>
      <c r="R49">
        <f ca="1">IFERROR(INDIRECT("'" &amp; SUBSTITUTE($R$1,"'","''") &amp; "'!B173"), "")</f>
        <v>47.33</v>
      </c>
      <c r="S49">
        <f ca="1">IFERROR(INDIRECT("'" &amp; SUBSTITUTE($R$1,"'","''") &amp; "'!C173"), "")</f>
        <v>63</v>
      </c>
      <c r="T49">
        <f ca="1">IFERROR(INDIRECT("'" &amp; SUBSTITUTE($T$1,"'","''") &amp; "'!B173"), "")</f>
        <v>57.98</v>
      </c>
      <c r="U49">
        <f ca="1">IFERROR(INDIRECT("'" &amp; SUBSTITUTE($T$1,"'","''") &amp; "'!C173"), "")</f>
        <v>81</v>
      </c>
      <c r="V49">
        <f ca="1">IFERROR(INDIRECT("'" &amp; SUBSTITUTE($V$1,"'","''") &amp; "'!B173"), "")</f>
        <v>48.79</v>
      </c>
      <c r="W49">
        <f ca="1">IFERROR(INDIRECT("'" &amp; SUBSTITUTE($V$1,"'","''") &amp; "'!C173"), "")</f>
        <v>64</v>
      </c>
      <c r="X49">
        <f ca="1">IFERROR(INDIRECT("'" &amp; SUBSTITUTE($X$1,"'","''") &amp; "'!B173"), "")</f>
        <v>37.15</v>
      </c>
      <c r="Y49">
        <f ca="1">IFERROR(INDIRECT("'" &amp; SUBSTITUTE($X$1,"'","''") &amp; "'!C173"), "")</f>
        <v>34</v>
      </c>
    </row>
    <row r="50" spans="1:25" x14ac:dyDescent="0.2">
      <c r="A50" t="s">
        <v>48</v>
      </c>
      <c r="B50">
        <f ca="1">IFERROR(INDIRECT("'" &amp; SUBSTITUTE($B$1,"'","''") &amp; "'!B176"), "")</f>
        <v>0.26</v>
      </c>
      <c r="C50">
        <f ca="1">IFERROR(INDIRECT("'" &amp; SUBSTITUTE($B$1,"'","''") &amp; "'!C176"), "")</f>
        <v>1</v>
      </c>
      <c r="D50">
        <f ca="1">IFERROR(INDIRECT("'" &amp; SUBSTITUTE($D$1,"'","''") &amp; "'!B176"), "")</f>
        <v>1.88</v>
      </c>
      <c r="E50">
        <f ca="1">IFERROR(INDIRECT("'" &amp; SUBSTITUTE($D$1,"'","''") &amp; "'!C176"), "")</f>
        <v>50</v>
      </c>
      <c r="F50">
        <f ca="1">IFERROR(INDIRECT("'" &amp; SUBSTITUTE($F$1,"'","''") &amp; "'!B176"), "")</f>
        <v>2.19</v>
      </c>
      <c r="G50">
        <f ca="1">IFERROR(INDIRECT("'" &amp; SUBSTITUTE($F$1,"'","''") &amp; "'!C176"), "")</f>
        <v>57</v>
      </c>
      <c r="H50">
        <f ca="1">IFERROR(INDIRECT("'" &amp; SUBSTITUTE($H$1,"'","''") &amp; "'!B176"), "")</f>
        <v>1.02</v>
      </c>
      <c r="I50">
        <f ca="1">IFERROR(INDIRECT("'" &amp; SUBSTITUTE($H$1,"'","''") &amp; "'!C176"), "")</f>
        <v>22</v>
      </c>
      <c r="J50">
        <f ca="1">IFERROR(INDIRECT("'" &amp; SUBSTITUTE($J$1,"'","''") &amp; "'!B176"), "")</f>
        <v>2.86</v>
      </c>
      <c r="K50">
        <f ca="1">IFERROR(INDIRECT("'" &amp; SUBSTITUTE($J$1,"'","''") &amp; "'!C176"), "")</f>
        <v>49</v>
      </c>
      <c r="L50">
        <f ca="1">IFERROR(INDIRECT("'" &amp; SUBSTITUTE($L$1,"'","''") &amp; "'!B176"), "")</f>
        <v>5.08</v>
      </c>
      <c r="M50">
        <f ca="1">IFERROR(INDIRECT("'" &amp; SUBSTITUTE($L$1,"'","''") &amp; "'!C176"), "")</f>
        <v>85</v>
      </c>
      <c r="N50">
        <f ca="1">IFERROR(INDIRECT("'" &amp; SUBSTITUTE($N$1,"'","''") &amp; "'!B176"), "")</f>
        <v>0.94</v>
      </c>
      <c r="O50">
        <f ca="1">IFERROR(INDIRECT("'" &amp; SUBSTITUTE($N$1,"'","''") &amp; "'!C176"), "")</f>
        <v>24</v>
      </c>
      <c r="P50">
        <f ca="1">IFERROR(INDIRECT("'" &amp; SUBSTITUTE($P$1,"'","''") &amp; "'!B176"), "")</f>
        <v>1.1299999999999999</v>
      </c>
      <c r="Q50">
        <f ca="1">IFERROR(INDIRECT("'" &amp; SUBSTITUTE($P$1,"'","''") &amp; "'!C176"), "")</f>
        <v>31</v>
      </c>
      <c r="R50">
        <f ca="1">IFERROR(INDIRECT("'" &amp; SUBSTITUTE($R$1,"'","''") &amp; "'!B176"), "")</f>
        <v>5.87</v>
      </c>
      <c r="S50">
        <f ca="1">IFERROR(INDIRECT("'" &amp; SUBSTITUTE($R$1,"'","''") &amp; "'!C176"), "")</f>
        <v>93</v>
      </c>
      <c r="T50">
        <f ca="1">IFERROR(INDIRECT("'" &amp; SUBSTITUTE($T$1,"'","''") &amp; "'!B176"), "")</f>
        <v>4.5599999999999996</v>
      </c>
      <c r="U50">
        <f ca="1">IFERROR(INDIRECT("'" &amp; SUBSTITUTE($T$1,"'","''") &amp; "'!C176"), "")</f>
        <v>84</v>
      </c>
      <c r="V50">
        <f ca="1">IFERROR(INDIRECT("'" &amp; SUBSTITUTE($V$1,"'","''") &amp; "'!B176"), "")</f>
        <v>1.1000000000000001</v>
      </c>
      <c r="W50">
        <f ca="1">IFERROR(INDIRECT("'" &amp; SUBSTITUTE($V$1,"'","''") &amp; "'!C176"), "")</f>
        <v>27</v>
      </c>
      <c r="X50">
        <f ca="1">IFERROR(INDIRECT("'" &amp; SUBSTITUTE($X$1,"'","''") &amp; "'!B176"), "")</f>
        <v>0.74</v>
      </c>
      <c r="Y50">
        <f ca="1">IFERROR(INDIRECT("'" &amp; SUBSTITUTE($X$1,"'","''") &amp; "'!C176"), "")</f>
        <v>19</v>
      </c>
    </row>
    <row r="51" spans="1:25" x14ac:dyDescent="0.2">
      <c r="A51" t="s">
        <v>49</v>
      </c>
      <c r="B51">
        <f ca="1">IFERROR(INDIRECT("'" &amp; SUBSTITUTE($B$1,"'","''") &amp; "'!B179"), "")</f>
        <v>0</v>
      </c>
      <c r="C51">
        <f ca="1">IFERROR(INDIRECT("'" &amp; SUBSTITUTE($B$1,"'","''") &amp; "'!C179"), "")</f>
        <v>1</v>
      </c>
      <c r="D51">
        <f ca="1">IFERROR(INDIRECT("'" &amp; SUBSTITUTE($D$1,"'","''") &amp; "'!B179"), "")</f>
        <v>0.88</v>
      </c>
      <c r="E51">
        <f ca="1">IFERROR(INDIRECT("'" &amp; SUBSTITUTE($D$1,"'","''") &amp; "'!C179"), "")</f>
        <v>38</v>
      </c>
      <c r="F51">
        <f ca="1">IFERROR(INDIRECT("'" &amp; SUBSTITUTE($F$1,"'","''") &amp; "'!B179"), "")</f>
        <v>0.84</v>
      </c>
      <c r="G51">
        <f ca="1">IFERROR(INDIRECT("'" &amp; SUBSTITUTE($F$1,"'","''") &amp; "'!C179"), "")</f>
        <v>36</v>
      </c>
      <c r="H51">
        <f ca="1">IFERROR(INDIRECT("'" &amp; SUBSTITUTE($H$1,"'","''") &amp; "'!B179"), "")</f>
        <v>0.86</v>
      </c>
      <c r="I51">
        <f ca="1">IFERROR(INDIRECT("'" &amp; SUBSTITUTE($H$1,"'","''") &amp; "'!C179"), "")</f>
        <v>37</v>
      </c>
      <c r="J51">
        <f ca="1">IFERROR(INDIRECT("'" &amp; SUBSTITUTE($J$1,"'","''") &amp; "'!B179"), "")</f>
        <v>1.8</v>
      </c>
      <c r="K51">
        <f ca="1">IFERROR(INDIRECT("'" &amp; SUBSTITUTE($J$1,"'","''") &amp; "'!C179"), "")</f>
        <v>62</v>
      </c>
      <c r="L51">
        <f ca="1">IFERROR(INDIRECT("'" &amp; SUBSTITUTE($L$1,"'","''") &amp; "'!B179"), "")</f>
        <v>3.24</v>
      </c>
      <c r="M51">
        <f ca="1">IFERROR(INDIRECT("'" &amp; SUBSTITUTE($L$1,"'","''") &amp; "'!C179"), "")</f>
        <v>97</v>
      </c>
      <c r="N51">
        <f ca="1">IFERROR(INDIRECT("'" &amp; SUBSTITUTE($N$1,"'","''") &amp; "'!B179"), "")</f>
        <v>0.64</v>
      </c>
      <c r="O51">
        <f ca="1">IFERROR(INDIRECT("'" &amp; SUBSTITUTE($N$1,"'","''") &amp; "'!C179"), "")</f>
        <v>38</v>
      </c>
      <c r="P51">
        <f ca="1">IFERROR(INDIRECT("'" &amp; SUBSTITUTE($P$1,"'","''") &amp; "'!B179"), "")</f>
        <v>0.51</v>
      </c>
      <c r="Q51">
        <f ca="1">IFERROR(INDIRECT("'" &amp; SUBSTITUTE($P$1,"'","''") &amp; "'!C179"), "")</f>
        <v>34</v>
      </c>
      <c r="R51">
        <f ca="1">IFERROR(INDIRECT("'" &amp; SUBSTITUTE($R$1,"'","''") &amp; "'!B179"), "")</f>
        <v>2.78</v>
      </c>
      <c r="S51">
        <f ca="1">IFERROR(INDIRECT("'" &amp; SUBSTITUTE($R$1,"'","''") &amp; "'!C179"), "")</f>
        <v>95</v>
      </c>
      <c r="T51">
        <f ca="1">IFERROR(INDIRECT("'" &amp; SUBSTITUTE($T$1,"'","''") &amp; "'!B179"), "")</f>
        <v>3.43</v>
      </c>
      <c r="U51">
        <f ca="1">IFERROR(INDIRECT("'" &amp; SUBSTITUTE($T$1,"'","''") &amp; "'!C179"), "")</f>
        <v>97</v>
      </c>
      <c r="V51">
        <f ca="1">IFERROR(INDIRECT("'" &amp; SUBSTITUTE($V$1,"'","''") &amp; "'!B179"), "")</f>
        <v>0.44</v>
      </c>
      <c r="W51">
        <f ca="1">IFERROR(INDIRECT("'" &amp; SUBSTITUTE($V$1,"'","''") &amp; "'!C179"), "")</f>
        <v>29</v>
      </c>
      <c r="X51">
        <f ca="1">IFERROR(INDIRECT("'" &amp; SUBSTITUTE($X$1,"'","''") &amp; "'!B179"), "")</f>
        <v>0.55000000000000004</v>
      </c>
      <c r="Y51">
        <f ca="1">IFERROR(INDIRECT("'" &amp; SUBSTITUTE($X$1,"'","''") &amp; "'!C179"), "")</f>
        <v>38</v>
      </c>
    </row>
    <row r="52" spans="1:25" x14ac:dyDescent="0.2">
      <c r="A52" t="s">
        <v>50</v>
      </c>
      <c r="B52">
        <f ca="1">IFERROR(INDIRECT("'" &amp; SUBSTITUTE($B$1,"'","''") &amp; "'!B182"), "")</f>
        <v>0.1</v>
      </c>
      <c r="C52">
        <f ca="1">IFERROR(INDIRECT("'" &amp; SUBSTITUTE($B$1,"'","''") &amp; "'!C182"), "")</f>
        <v>28</v>
      </c>
      <c r="D52">
        <f ca="1">IFERROR(INDIRECT("'" &amp; SUBSTITUTE($D$1,"'","''") &amp; "'!B182"), "")</f>
        <v>0.15</v>
      </c>
      <c r="E52">
        <f ca="1">IFERROR(INDIRECT("'" &amp; SUBSTITUTE($D$1,"'","''") &amp; "'!C182"), "")</f>
        <v>49</v>
      </c>
      <c r="F52">
        <f ca="1">IFERROR(INDIRECT("'" &amp; SUBSTITUTE($F$1,"'","''") &amp; "'!B182"), "")</f>
        <v>0.31</v>
      </c>
      <c r="G52">
        <f ca="1">IFERROR(INDIRECT("'" &amp; SUBSTITUTE($F$1,"'","''") &amp; "'!C182"), "")</f>
        <v>81</v>
      </c>
      <c r="H52">
        <f ca="1">IFERROR(INDIRECT("'" &amp; SUBSTITUTE($H$1,"'","''") &amp; "'!B182"), "")</f>
        <v>0.13</v>
      </c>
      <c r="I52">
        <f ca="1">IFERROR(INDIRECT("'" &amp; SUBSTITUTE($H$1,"'","''") &amp; "'!C182"), "")</f>
        <v>41</v>
      </c>
      <c r="J52">
        <f ca="1">IFERROR(INDIRECT("'" &amp; SUBSTITUTE($J$1,"'","''") &amp; "'!B182"), "")</f>
        <v>0.11</v>
      </c>
      <c r="K52">
        <f ca="1">IFERROR(INDIRECT("'" &amp; SUBSTITUTE($J$1,"'","''") &amp; "'!C182"), "")</f>
        <v>84</v>
      </c>
      <c r="L52">
        <f ca="1">IFERROR(INDIRECT("'" &amp; SUBSTITUTE($L$1,"'","''") &amp; "'!B182"), "")</f>
        <v>0.15</v>
      </c>
      <c r="M52">
        <f ca="1">IFERROR(INDIRECT("'" &amp; SUBSTITUTE($L$1,"'","''") &amp; "'!C182"), "")</f>
        <v>45</v>
      </c>
      <c r="N52">
        <f ca="1">IFERROR(INDIRECT("'" &amp; SUBSTITUTE($N$1,"'","''") &amp; "'!B182"), "")</f>
        <v>0.24</v>
      </c>
      <c r="O52">
        <f ca="1">IFERROR(INDIRECT("'" &amp; SUBSTITUTE($N$1,"'","''") &amp; "'!C182"), "")</f>
        <v>62</v>
      </c>
      <c r="P52">
        <f ca="1">IFERROR(INDIRECT("'" &amp; SUBSTITUTE($P$1,"'","''") &amp; "'!B182"), "")</f>
        <v>0.22</v>
      </c>
      <c r="Q52">
        <f ca="1">IFERROR(INDIRECT("'" &amp; SUBSTITUTE($P$1,"'","''") &amp; "'!C182"), "")</f>
        <v>57</v>
      </c>
      <c r="R52">
        <f ca="1">IFERROR(INDIRECT("'" &amp; SUBSTITUTE($R$1,"'","''") &amp; "'!B182"), "")</f>
        <v>0.35</v>
      </c>
      <c r="S52">
        <f ca="1">IFERROR(INDIRECT("'" &amp; SUBSTITUTE($R$1,"'","''") &amp; "'!C182"), "")</f>
        <v>72</v>
      </c>
      <c r="T52">
        <f ca="1">IFERROR(INDIRECT("'" &amp; SUBSTITUTE($T$1,"'","''") &amp; "'!B182"), "")</f>
        <v>0.21</v>
      </c>
      <c r="U52">
        <f ca="1">IFERROR(INDIRECT("'" &amp; SUBSTITUTE($T$1,"'","''") &amp; "'!C182"), "")</f>
        <v>56</v>
      </c>
      <c r="V52">
        <f ca="1">IFERROR(INDIRECT("'" &amp; SUBSTITUTE($V$1,"'","''") &amp; "'!B182"), "")</f>
        <v>0</v>
      </c>
      <c r="W52">
        <f ca="1">IFERROR(INDIRECT("'" &amp; SUBSTITUTE($V$1,"'","''") &amp; "'!C182"), "")</f>
        <v>5</v>
      </c>
      <c r="X52">
        <f ca="1">IFERROR(INDIRECT("'" &amp; SUBSTITUTE($X$1,"'","''") &amp; "'!B182"), "")</f>
        <v>0</v>
      </c>
      <c r="Y52">
        <f ca="1">IFERROR(INDIRECT("'" &amp; SUBSTITUTE($X$1,"'","''") &amp; "'!C182"), "")</f>
        <v>7</v>
      </c>
    </row>
    <row r="53" spans="1:25" x14ac:dyDescent="0.2">
      <c r="A53" t="s">
        <v>51</v>
      </c>
      <c r="B53">
        <f ca="1">IFERROR(INDIRECT("'" &amp; SUBSTITUTE($B$1,"'","''") &amp; "'!B185"), "")</f>
        <v>0</v>
      </c>
      <c r="C53">
        <f ca="1">IFERROR(INDIRECT("'" &amp; SUBSTITUTE($B$1,"'","''") &amp; "'!C185"), "")</f>
        <v>2</v>
      </c>
      <c r="D53">
        <f ca="1">IFERROR(INDIRECT("'" &amp; SUBSTITUTE($D$1,"'","''") &amp; "'!B185"), "")</f>
        <v>0.36</v>
      </c>
      <c r="E53">
        <f ca="1">IFERROR(INDIRECT("'" &amp; SUBSTITUTE($D$1,"'","''") &amp; "'!C185"), "")</f>
        <v>56</v>
      </c>
      <c r="F53">
        <f ca="1">IFERROR(INDIRECT("'" &amp; SUBSTITUTE($F$1,"'","''") &amp; "'!B185"), "")</f>
        <v>0.26</v>
      </c>
      <c r="G53">
        <f ca="1">IFERROR(INDIRECT("'" &amp; SUBSTITUTE($F$1,"'","''") &amp; "'!C185"), "")</f>
        <v>43</v>
      </c>
      <c r="H53">
        <f ca="1">IFERROR(INDIRECT("'" &amp; SUBSTITUTE($H$1,"'","''") &amp; "'!B185"), "")</f>
        <v>0.45</v>
      </c>
      <c r="I53">
        <f ca="1">IFERROR(INDIRECT("'" &amp; SUBSTITUTE($H$1,"'","''") &amp; "'!C185"), "")</f>
        <v>69</v>
      </c>
      <c r="J53">
        <f ca="1">IFERROR(INDIRECT("'" &amp; SUBSTITUTE($J$1,"'","''") &amp; "'!B185"), "")</f>
        <v>0.51</v>
      </c>
      <c r="K53">
        <f ca="1">IFERROR(INDIRECT("'" &amp; SUBSTITUTE($J$1,"'","''") &amp; "'!C185"), "")</f>
        <v>82</v>
      </c>
      <c r="L53">
        <f ca="1">IFERROR(INDIRECT("'" &amp; SUBSTITUTE($L$1,"'","''") &amp; "'!B185"), "")</f>
        <v>1.1000000000000001</v>
      </c>
      <c r="M53">
        <f ca="1">IFERROR(INDIRECT("'" &amp; SUBSTITUTE($L$1,"'","''") &amp; "'!C185"), "")</f>
        <v>98</v>
      </c>
      <c r="N53">
        <f ca="1">IFERROR(INDIRECT("'" &amp; SUBSTITUTE($N$1,"'","''") &amp; "'!B185"), "")</f>
        <v>0.36</v>
      </c>
      <c r="O53">
        <f ca="1">IFERROR(INDIRECT("'" &amp; SUBSTITUTE($N$1,"'","''") &amp; "'!C185"), "")</f>
        <v>68</v>
      </c>
      <c r="P53">
        <f ca="1">IFERROR(INDIRECT("'" &amp; SUBSTITUTE($P$1,"'","''") &amp; "'!B185"), "")</f>
        <v>1.2</v>
      </c>
      <c r="Q53">
        <f ca="1">IFERROR(INDIRECT("'" &amp; SUBSTITUTE($P$1,"'","''") &amp; "'!C185"), "")</f>
        <v>98</v>
      </c>
      <c r="R53">
        <f ca="1">IFERROR(INDIRECT("'" &amp; SUBSTITUTE($R$1,"'","''") &amp; "'!B185"), "")</f>
        <v>0.3</v>
      </c>
      <c r="S53">
        <f ca="1">IFERROR(INDIRECT("'" &amp; SUBSTITUTE($R$1,"'","''") &amp; "'!C185"), "")</f>
        <v>53</v>
      </c>
      <c r="T53">
        <f ca="1">IFERROR(INDIRECT("'" &amp; SUBSTITUTE($T$1,"'","''") &amp; "'!B185"), "")</f>
        <v>0.72</v>
      </c>
      <c r="U53">
        <f ca="1">IFERROR(INDIRECT("'" &amp; SUBSTITUTE($T$1,"'","''") &amp; "'!C185"), "")</f>
        <v>88</v>
      </c>
      <c r="V53">
        <f ca="1">IFERROR(INDIRECT("'" &amp; SUBSTITUTE($V$1,"'","''") &amp; "'!B185"), "")</f>
        <v>0.22</v>
      </c>
      <c r="W53">
        <f ca="1">IFERROR(INDIRECT("'" &amp; SUBSTITUTE($V$1,"'","''") &amp; "'!C185"), "")</f>
        <v>46</v>
      </c>
      <c r="X53">
        <f ca="1">IFERROR(INDIRECT("'" &amp; SUBSTITUTE($X$1,"'","''") &amp; "'!B185"), "")</f>
        <v>0.05</v>
      </c>
      <c r="Y53">
        <f ca="1">IFERROR(INDIRECT("'" &amp; SUBSTITUTE($X$1,"'","''") &amp; "'!C185"), "")</f>
        <v>11</v>
      </c>
    </row>
    <row r="54" spans="1:25" x14ac:dyDescent="0.2">
      <c r="A54" t="s">
        <v>52</v>
      </c>
      <c r="B54">
        <f ca="1">IFERROR(INDIRECT("'" &amp; SUBSTITUTE($B$1,"'","''") &amp; "'!B188"), "")</f>
        <v>1.01</v>
      </c>
      <c r="C54">
        <f ca="1">IFERROR(INDIRECT("'" &amp; SUBSTITUTE($B$1,"'","''") &amp; "'!C188"), "")</f>
        <v>56</v>
      </c>
      <c r="D54">
        <f ca="1">IFERROR(INDIRECT("'" &amp; SUBSTITUTE($D$1,"'","''") &amp; "'!B188"), "")</f>
        <v>0.94</v>
      </c>
      <c r="E54">
        <f ca="1">IFERROR(INDIRECT("'" &amp; SUBSTITUTE($D$1,"'","''") &amp; "'!C188"), "")</f>
        <v>55</v>
      </c>
      <c r="F54">
        <f ca="1">IFERROR(INDIRECT("'" &amp; SUBSTITUTE($F$1,"'","''") &amp; "'!B188"), "")</f>
        <v>2.61</v>
      </c>
      <c r="G54">
        <f ca="1">IFERROR(INDIRECT("'" &amp; SUBSTITUTE($F$1,"'","''") &amp; "'!C188"), "")</f>
        <v>80</v>
      </c>
      <c r="H54">
        <f ca="1">IFERROR(INDIRECT("'" &amp; SUBSTITUTE($H$1,"'","''") &amp; "'!B188"), "")</f>
        <v>0.03</v>
      </c>
      <c r="I54">
        <f ca="1">IFERROR(INDIRECT("'" &amp; SUBSTITUTE($H$1,"'","''") &amp; "'!C188"), "")</f>
        <v>2</v>
      </c>
      <c r="J54">
        <f ca="1">IFERROR(INDIRECT("'" &amp; SUBSTITUTE($J$1,"'","''") &amp; "'!B188"), "")</f>
        <v>0.4</v>
      </c>
      <c r="K54">
        <f ca="1">IFERROR(INDIRECT("'" &amp; SUBSTITUTE($J$1,"'","''") &amp; "'!C188"), "")</f>
        <v>73</v>
      </c>
      <c r="L54">
        <f ca="1">IFERROR(INDIRECT("'" &amp; SUBSTITUTE($L$1,"'","''") &amp; "'!B188"), "")</f>
        <v>2.06</v>
      </c>
      <c r="M54">
        <f ca="1">IFERROR(INDIRECT("'" &amp; SUBSTITUTE($L$1,"'","''") &amp; "'!C188"), "")</f>
        <v>68</v>
      </c>
      <c r="N54">
        <f ca="1">IFERROR(INDIRECT("'" &amp; SUBSTITUTE($N$1,"'","''") &amp; "'!B188"), "")</f>
        <v>0.45</v>
      </c>
      <c r="O54">
        <f ca="1">IFERROR(INDIRECT("'" &amp; SUBSTITUTE($N$1,"'","''") &amp; "'!C188"), "")</f>
        <v>28</v>
      </c>
      <c r="P54">
        <f ca="1">IFERROR(INDIRECT("'" &amp; SUBSTITUTE($P$1,"'","''") &amp; "'!B188"), "")</f>
        <v>1.57</v>
      </c>
      <c r="Q54">
        <f ca="1">IFERROR(INDIRECT("'" &amp; SUBSTITUTE($P$1,"'","''") &amp; "'!C188"), "")</f>
        <v>62</v>
      </c>
      <c r="R54">
        <f ca="1">IFERROR(INDIRECT("'" &amp; SUBSTITUTE($R$1,"'","''") &amp; "'!B188"), "")</f>
        <v>2.98</v>
      </c>
      <c r="S54">
        <f ca="1">IFERROR(INDIRECT("'" &amp; SUBSTITUTE($R$1,"'","''") &amp; "'!C188"), "")</f>
        <v>83</v>
      </c>
      <c r="T54">
        <f ca="1">IFERROR(INDIRECT("'" &amp; SUBSTITUTE($T$1,"'","''") &amp; "'!B188"), "")</f>
        <v>1.58</v>
      </c>
      <c r="U54">
        <f ca="1">IFERROR(INDIRECT("'" &amp; SUBSTITUTE($T$1,"'","''") &amp; "'!C188"), "")</f>
        <v>64</v>
      </c>
      <c r="V54">
        <f ca="1">IFERROR(INDIRECT("'" &amp; SUBSTITUTE($V$1,"'","''") &amp; "'!B188"), "")</f>
        <v>0.66</v>
      </c>
      <c r="W54">
        <f ca="1">IFERROR(INDIRECT("'" &amp; SUBSTITUTE($V$1,"'","''") &amp; "'!C188"), "")</f>
        <v>33</v>
      </c>
      <c r="X54">
        <f ca="1">IFERROR(INDIRECT("'" &amp; SUBSTITUTE($X$1,"'","''") &amp; "'!B188"), "")</f>
        <v>0.23</v>
      </c>
      <c r="Y54">
        <f ca="1">IFERROR(INDIRECT("'" &amp; SUBSTITUTE($X$1,"'","''") &amp; "'!C188"), "")</f>
        <v>13</v>
      </c>
    </row>
    <row r="55" spans="1:25" x14ac:dyDescent="0.2">
      <c r="A55" t="s">
        <v>53</v>
      </c>
      <c r="B55">
        <f ca="1">IFERROR(INDIRECT("'" &amp; SUBSTITUTE($B$1,"'","''") &amp; "'!B191"), "")</f>
        <v>0.03</v>
      </c>
      <c r="C55">
        <f ca="1">IFERROR(INDIRECT("'" &amp; SUBSTITUTE($B$1,"'","''") &amp; "'!C191"), "")</f>
        <v>9</v>
      </c>
      <c r="D55">
        <f ca="1">IFERROR(INDIRECT("'" &amp; SUBSTITUTE($D$1,"'","''") &amp; "'!B191"), "")</f>
        <v>0.67</v>
      </c>
      <c r="E55">
        <f ca="1">IFERROR(INDIRECT("'" &amp; SUBSTITUTE($D$1,"'","''") &amp; "'!C191"), "")</f>
        <v>86</v>
      </c>
      <c r="F55">
        <f ca="1">IFERROR(INDIRECT("'" &amp; SUBSTITUTE($F$1,"'","''") &amp; "'!B191"), "")</f>
        <v>0.16</v>
      </c>
      <c r="G55">
        <f ca="1">IFERROR(INDIRECT("'" &amp; SUBSTITUTE($F$1,"'","''") &amp; "'!C191"), "")</f>
        <v>41</v>
      </c>
      <c r="H55">
        <f ca="1">IFERROR(INDIRECT("'" &amp; SUBSTITUTE($H$1,"'","''") &amp; "'!B191"), "")</f>
        <v>0.1</v>
      </c>
      <c r="I55">
        <f ca="1">IFERROR(INDIRECT("'" &amp; SUBSTITUTE($H$1,"'","''") &amp; "'!C191"), "")</f>
        <v>28</v>
      </c>
      <c r="J55">
        <f ca="1">IFERROR(INDIRECT("'" &amp; SUBSTITUTE($J$1,"'","''") &amp; "'!B191"), "")</f>
        <v>0.28999999999999998</v>
      </c>
      <c r="K55">
        <f ca="1">IFERROR(INDIRECT("'" &amp; SUBSTITUTE($J$1,"'","''") &amp; "'!C191"), "")</f>
        <v>52</v>
      </c>
      <c r="L55">
        <f ca="1">IFERROR(INDIRECT("'" &amp; SUBSTITUTE($L$1,"'","''") &amp; "'!B191"), "")</f>
        <v>0.59</v>
      </c>
      <c r="M55">
        <f ca="1">IFERROR(INDIRECT("'" &amp; SUBSTITUTE($L$1,"'","''") &amp; "'!C191"), "")</f>
        <v>78</v>
      </c>
      <c r="N55">
        <f ca="1">IFERROR(INDIRECT("'" &amp; SUBSTITUTE($N$1,"'","''") &amp; "'!B191"), "")</f>
        <v>0.27</v>
      </c>
      <c r="O55">
        <f ca="1">IFERROR(INDIRECT("'" &amp; SUBSTITUTE($N$1,"'","''") &amp; "'!C191"), "")</f>
        <v>52</v>
      </c>
      <c r="P55">
        <f ca="1">IFERROR(INDIRECT("'" &amp; SUBSTITUTE($P$1,"'","''") &amp; "'!B191"), "")</f>
        <v>0.28999999999999998</v>
      </c>
      <c r="Q55">
        <f ca="1">IFERROR(INDIRECT("'" &amp; SUBSTITUTE($P$1,"'","''") &amp; "'!C191"), "")</f>
        <v>62</v>
      </c>
      <c r="R55">
        <f ca="1">IFERROR(INDIRECT("'" &amp; SUBSTITUTE($R$1,"'","''") &amp; "'!B191"), "")</f>
        <v>0.15</v>
      </c>
      <c r="S55">
        <f ca="1">IFERROR(INDIRECT("'" &amp; SUBSTITUTE($R$1,"'","''") &amp; "'!C191"), "")</f>
        <v>40</v>
      </c>
      <c r="T55">
        <f ca="1">IFERROR(INDIRECT("'" &amp; SUBSTITUTE($T$1,"'","''") &amp; "'!B191"), "")</f>
        <v>0.33</v>
      </c>
      <c r="U55">
        <f ca="1">IFERROR(INDIRECT("'" &amp; SUBSTITUTE($T$1,"'","''") &amp; "'!C191"), "")</f>
        <v>65</v>
      </c>
      <c r="V55">
        <f ca="1">IFERROR(INDIRECT("'" &amp; SUBSTITUTE($V$1,"'","''") &amp; "'!B191"), "")</f>
        <v>0.55000000000000004</v>
      </c>
      <c r="W55">
        <f ca="1">IFERROR(INDIRECT("'" &amp; SUBSTITUTE($V$1,"'","''") &amp; "'!C191"), "")</f>
        <v>76</v>
      </c>
      <c r="X55">
        <f ca="1">IFERROR(INDIRECT("'" &amp; SUBSTITUTE($X$1,"'","''") &amp; "'!B191"), "")</f>
        <v>0.18</v>
      </c>
      <c r="Y55">
        <f ca="1">IFERROR(INDIRECT("'" &amp; SUBSTITUTE($X$1,"'","''") &amp; "'!C191"), "")</f>
        <v>46</v>
      </c>
    </row>
    <row r="56" spans="1:25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22</v>
      </c>
      <c r="D56">
        <f ca="1">IFERROR(INDIRECT("'" &amp; SUBSTITUTE($D$1,"'","''") &amp; "'!B194"), "")</f>
        <v>0.03</v>
      </c>
      <c r="E56">
        <f ca="1">IFERROR(INDIRECT("'" &amp; SUBSTITUTE($D$1,"'","''") &amp; "'!C194"), "")</f>
        <v>45</v>
      </c>
      <c r="F56">
        <f ca="1">IFERROR(INDIRECT("'" &amp; SUBSTITUTE($F$1,"'","''") &amp; "'!B194"), "")</f>
        <v>0.52</v>
      </c>
      <c r="G56">
        <f ca="1">IFERROR(INDIRECT("'" &amp; SUBSTITUTE($F$1,"'","''") &amp; "'!C194"), "")</f>
        <v>69</v>
      </c>
      <c r="H56">
        <f ca="1">IFERROR(INDIRECT("'" &amp; SUBSTITUTE($H$1,"'","''") &amp; "'!B194"), "")</f>
        <v>0</v>
      </c>
      <c r="I56">
        <f ca="1">IFERROR(INDIRECT("'" &amp; SUBSTITUTE($H$1,"'","''") &amp; "'!C194"), "")</f>
        <v>22</v>
      </c>
      <c r="J56">
        <f ca="1">IFERROR(INDIRECT("'" &amp; SUBSTITUTE($J$1,"'","''") &amp; "'!B194"), "")</f>
        <v>0</v>
      </c>
      <c r="K56">
        <f ca="1">IFERROR(INDIRECT("'" &amp; SUBSTITUTE($J$1,"'","''") &amp; "'!C194"), "")</f>
        <v>48</v>
      </c>
      <c r="L56">
        <f ca="1">IFERROR(INDIRECT("'" &amp; SUBSTITUTE($L$1,"'","''") &amp; "'!B194"), "")</f>
        <v>1.1000000000000001</v>
      </c>
      <c r="M56">
        <f ca="1">IFERROR(INDIRECT("'" &amp; SUBSTITUTE($L$1,"'","''") &amp; "'!C194"), "")</f>
        <v>76</v>
      </c>
      <c r="N56">
        <f ca="1">IFERROR(INDIRECT("'" &amp; SUBSTITUTE($N$1,"'","''") &amp; "'!B194"), "")</f>
        <v>0</v>
      </c>
      <c r="O56">
        <f ca="1">IFERROR(INDIRECT("'" &amp; SUBSTITUTE($N$1,"'","''") &amp; "'!C194"), "")</f>
        <v>20</v>
      </c>
      <c r="P56">
        <f ca="1">IFERROR(INDIRECT("'" &amp; SUBSTITUTE($P$1,"'","''") &amp; "'!B194"), "")</f>
        <v>0.33</v>
      </c>
      <c r="Q56">
        <f ca="1">IFERROR(INDIRECT("'" &amp; SUBSTITUTE($P$1,"'","''") &amp; "'!C194"), "")</f>
        <v>68</v>
      </c>
      <c r="R56">
        <f ca="1">IFERROR(INDIRECT("'" &amp; SUBSTITUTE($R$1,"'","''") &amp; "'!B194"), "")</f>
        <v>1.72</v>
      </c>
      <c r="S56">
        <f ca="1">IFERROR(INDIRECT("'" &amp; SUBSTITUTE($R$1,"'","''") &amp; "'!C194"), "")</f>
        <v>86</v>
      </c>
      <c r="T56">
        <f ca="1">IFERROR(INDIRECT("'" &amp; SUBSTITUTE($T$1,"'","''") &amp; "'!B194"), "")</f>
        <v>0.63</v>
      </c>
      <c r="U56">
        <f ca="1">IFERROR(INDIRECT("'" &amp; SUBSTITUTE($T$1,"'","''") &amp; "'!C194"), "")</f>
        <v>75</v>
      </c>
      <c r="V56">
        <f ca="1">IFERROR(INDIRECT("'" &amp; SUBSTITUTE($V$1,"'","''") &amp; "'!B194"), "")</f>
        <v>0</v>
      </c>
      <c r="W56">
        <f ca="1">IFERROR(INDIRECT("'" &amp; SUBSTITUTE($V$1,"'","''") &amp; "'!C194"), "")</f>
        <v>20</v>
      </c>
      <c r="X56">
        <f ca="1">IFERROR(INDIRECT("'" &amp; SUBSTITUTE($X$1,"'","''") &amp; "'!B194"), "")</f>
        <v>0</v>
      </c>
      <c r="Y56">
        <f ca="1">IFERROR(INDIRECT("'" &amp; SUBSTITUTE($X$1,"'","''") &amp; "'!C194"), "")</f>
        <v>22</v>
      </c>
    </row>
    <row r="57" spans="1:25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27</v>
      </c>
      <c r="D57">
        <f ca="1">IFERROR(INDIRECT("'" &amp; SUBSTITUTE($D$1,"'","''") &amp; "'!B198"), "")</f>
        <v>0.03</v>
      </c>
      <c r="E57">
        <f ca="1">IFERROR(INDIRECT("'" &amp; SUBSTITUTE($D$1,"'","''") &amp; "'!C198"), "")</f>
        <v>55</v>
      </c>
      <c r="F57">
        <f ca="1">IFERROR(INDIRECT("'" &amp; SUBSTITUTE($F$1,"'","''") &amp; "'!B198"), "")</f>
        <v>0.47</v>
      </c>
      <c r="G57">
        <f ca="1">IFERROR(INDIRECT("'" &amp; SUBSTITUTE($F$1,"'","''") &amp; "'!C198"), "")</f>
        <v>77</v>
      </c>
      <c r="H57">
        <f ca="1">IFERROR(INDIRECT("'" &amp; SUBSTITUTE($H$1,"'","''") &amp; "'!B198"), "")</f>
        <v>0</v>
      </c>
      <c r="I57">
        <f ca="1">IFERROR(INDIRECT("'" &amp; SUBSTITUTE($H$1,"'","''") &amp; "'!C198"), "")</f>
        <v>27</v>
      </c>
      <c r="J57">
        <f ca="1">IFERROR(INDIRECT("'" &amp; SUBSTITUTE($J$1,"'","''") &amp; "'!B198"), "")</f>
        <v>0</v>
      </c>
      <c r="K57">
        <f ca="1">IFERROR(INDIRECT("'" &amp; SUBSTITUTE($J$1,"'","''") &amp; "'!C198"), "")</f>
        <v>49</v>
      </c>
      <c r="L57">
        <f ca="1">IFERROR(INDIRECT("'" &amp; SUBSTITUTE($L$1,"'","''") &amp; "'!B198"), "")</f>
        <v>0.59</v>
      </c>
      <c r="M57">
        <f ca="1">IFERROR(INDIRECT("'" &amp; SUBSTITUTE($L$1,"'","''") &amp; "'!C198"), "")</f>
        <v>73</v>
      </c>
      <c r="N57">
        <f ca="1">IFERROR(INDIRECT("'" &amp; SUBSTITUTE($N$1,"'","''") &amp; "'!B198"), "")</f>
        <v>0</v>
      </c>
      <c r="O57">
        <f ca="1">IFERROR(INDIRECT("'" &amp; SUBSTITUTE($N$1,"'","''") &amp; "'!C198"), "")</f>
        <v>25</v>
      </c>
      <c r="P57">
        <f ca="1">IFERROR(INDIRECT("'" &amp; SUBSTITUTE($P$1,"'","''") &amp; "'!B198"), "")</f>
        <v>0.11</v>
      </c>
      <c r="Q57">
        <f ca="1">IFERROR(INDIRECT("'" &amp; SUBSTITUTE($P$1,"'","''") &amp; "'!C198"), "")</f>
        <v>66</v>
      </c>
      <c r="R57">
        <f ca="1">IFERROR(INDIRECT("'" &amp; SUBSTITUTE($R$1,"'","''") &amp; "'!B198"), "")</f>
        <v>0.51</v>
      </c>
      <c r="S57">
        <f ca="1">IFERROR(INDIRECT("'" &amp; SUBSTITUTE($R$1,"'","''") &amp; "'!C198"), "")</f>
        <v>80</v>
      </c>
      <c r="T57">
        <f ca="1">IFERROR(INDIRECT("'" &amp; SUBSTITUTE($T$1,"'","''") &amp; "'!B198"), "")</f>
        <v>0.09</v>
      </c>
      <c r="U57">
        <f ca="1">IFERROR(INDIRECT("'" &amp; SUBSTITUTE($T$1,"'","''") &amp; "'!C198"), "")</f>
        <v>64</v>
      </c>
      <c r="V57">
        <f ca="1">IFERROR(INDIRECT("'" &amp; SUBSTITUTE($V$1,"'","''") &amp; "'!B198"), "")</f>
        <v>0</v>
      </c>
      <c r="W57">
        <f ca="1">IFERROR(INDIRECT("'" &amp; SUBSTITUTE($V$1,"'","''") &amp; "'!C198"), "")</f>
        <v>25</v>
      </c>
      <c r="X57">
        <f ca="1">IFERROR(INDIRECT("'" &amp; SUBSTITUTE($X$1,"'","''") &amp; "'!B198"), "")</f>
        <v>0</v>
      </c>
      <c r="Y57">
        <f ca="1">IFERROR(INDIRECT("'" &amp; SUBSTITUTE($X$1,"'","''") &amp; "'!C198"), "")</f>
        <v>28</v>
      </c>
    </row>
    <row r="58" spans="1:25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30</v>
      </c>
      <c r="D58">
        <f ca="1">IFERROR(INDIRECT("'" &amp; SUBSTITUTE($D$1,"'","''") &amp; "'!B201"), "")</f>
        <v>0</v>
      </c>
      <c r="E58">
        <f ca="1">IFERROR(INDIRECT("'" &amp; SUBSTITUTE($D$1,"'","''") &amp; "'!C201"), "")</f>
        <v>30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30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30</v>
      </c>
      <c r="J58">
        <f ca="1">IFERROR(INDIRECT("'" &amp; SUBSTITUTE($J$1,"'","''") &amp; "'!B201"), "")</f>
        <v>0</v>
      </c>
      <c r="K58">
        <f ca="1">IFERROR(INDIRECT("'" &amp; SUBSTITUTE($J$1,"'","''") &amp; "'!C201"), "")</f>
        <v>49</v>
      </c>
      <c r="L58">
        <f ca="1">IFERROR(INDIRECT("'" &amp; SUBSTITUTE($L$1,"'","''") &amp; "'!B201"), "")</f>
        <v>0.22</v>
      </c>
      <c r="M58">
        <f ca="1">IFERROR(INDIRECT("'" &amp; SUBSTITUTE($L$1,"'","''") &amp; "'!C201"), "")</f>
        <v>74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29</v>
      </c>
      <c r="P58">
        <f ca="1">IFERROR(INDIRECT("'" &amp; SUBSTITUTE($P$1,"'","''") &amp; "'!B201"), "")</f>
        <v>0.15</v>
      </c>
      <c r="Q58">
        <f ca="1">IFERROR(INDIRECT("'" &amp; SUBSTITUTE($P$1,"'","''") &amp; "'!C201"), "")</f>
        <v>76</v>
      </c>
      <c r="R58">
        <f ca="1">IFERROR(INDIRECT("'" &amp; SUBSTITUTE($R$1,"'","''") &amp; "'!B201"), "")</f>
        <v>0.76</v>
      </c>
      <c r="S58">
        <f ca="1">IFERROR(INDIRECT("'" &amp; SUBSTITUTE($R$1,"'","''") &amp; "'!C201"), "")</f>
        <v>94</v>
      </c>
      <c r="T58">
        <f ca="1">IFERROR(INDIRECT("'" &amp; SUBSTITUTE($T$1,"'","''") &amp; "'!B201"), "")</f>
        <v>0.48</v>
      </c>
      <c r="U58">
        <f ca="1">IFERROR(INDIRECT("'" &amp; SUBSTITUTE($T$1,"'","''") &amp; "'!C201"), "")</f>
        <v>88</v>
      </c>
      <c r="V58">
        <f ca="1">IFERROR(INDIRECT("'" &amp; SUBSTITUTE($V$1,"'","''") &amp; "'!B201"), "")</f>
        <v>0</v>
      </c>
      <c r="W58">
        <f ca="1">IFERROR(INDIRECT("'" &amp; SUBSTITUTE($V$1,"'","''") &amp; "'!C201"), "")</f>
        <v>29</v>
      </c>
      <c r="X58">
        <f ca="1">IFERROR(INDIRECT("'" &amp; SUBSTITUTE($X$1,"'","''") &amp; "'!B201"), "")</f>
        <v>0</v>
      </c>
      <c r="Y58">
        <f ca="1">IFERROR(INDIRECT("'" &amp; SUBSTITUTE($X$1,"'","''") &amp; "'!C201"), "")</f>
        <v>28</v>
      </c>
    </row>
    <row r="59" spans="1:25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46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46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46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46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50</v>
      </c>
      <c r="L59">
        <f ca="1">IFERROR(INDIRECT("'" &amp; SUBSTITUTE($L$1,"'","''") &amp; "'!B204"), "")</f>
        <v>0</v>
      </c>
      <c r="M59">
        <f ca="1">IFERROR(INDIRECT("'" &amp; SUBSTITUTE($L$1,"'","''") &amp; "'!C204"), "")</f>
        <v>41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41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42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42</v>
      </c>
      <c r="T59">
        <f ca="1">IFERROR(INDIRECT("'" &amp; SUBSTITUTE($T$1,"'","''") &amp; "'!B204"), "")</f>
        <v>0</v>
      </c>
      <c r="U59">
        <f ca="1">IFERROR(INDIRECT("'" &amp; SUBSTITUTE($T$1,"'","''") &amp; "'!C204"), "")</f>
        <v>42</v>
      </c>
      <c r="V59">
        <f ca="1">IFERROR(INDIRECT("'" &amp; SUBSTITUTE($V$1,"'","''") &amp; "'!B204"), "")</f>
        <v>0</v>
      </c>
      <c r="W59">
        <f ca="1">IFERROR(INDIRECT("'" &amp; SUBSTITUTE($V$1,"'","''") &amp; "'!C204"), "")</f>
        <v>41</v>
      </c>
      <c r="X59">
        <f ca="1">IFERROR(INDIRECT("'" &amp; SUBSTITUTE($X$1,"'","''") &amp; "'!B204"), "")</f>
        <v>0</v>
      </c>
      <c r="Y59">
        <f ca="1">IFERROR(INDIRECT("'" &amp; SUBSTITUTE($X$1,"'","''") &amp; "'!C204"), "")</f>
        <v>43</v>
      </c>
    </row>
    <row r="60" spans="1:25" x14ac:dyDescent="0.2">
      <c r="A60" t="s">
        <v>58</v>
      </c>
      <c r="B60">
        <f ca="1">IFERROR(INDIRECT("'" &amp; SUBSTITUTE($B$1,"'","''") &amp; "'!B211"), "")</f>
        <v>0.03</v>
      </c>
      <c r="C60">
        <f ca="1">IFERROR(INDIRECT("'" &amp; SUBSTITUTE($B$1,"'","''") &amp; "'!C211"), "")</f>
        <v>95</v>
      </c>
      <c r="D60">
        <f ca="1">IFERROR(INDIRECT("'" &amp; SUBSTITUTE($D$1,"'","''") &amp; "'!B211"), "")</f>
        <v>0.09</v>
      </c>
      <c r="E60">
        <f ca="1">IFERROR(INDIRECT("'" &amp; SUBSTITUTE($D$1,"'","''") &amp; "'!C211"), "")</f>
        <v>78</v>
      </c>
      <c r="F60">
        <f ca="1">IFERROR(INDIRECT("'" &amp; SUBSTITUTE($F$1,"'","''") &amp; "'!B211"), "")</f>
        <v>0.1</v>
      </c>
      <c r="G60">
        <f ca="1">IFERROR(INDIRECT("'" &amp; SUBSTITUTE($F$1,"'","''") &amp; "'!C211"), "")</f>
        <v>75</v>
      </c>
      <c r="H60">
        <f ca="1">IFERROR(INDIRECT("'" &amp; SUBSTITUTE($H$1,"'","''") &amp; "'!B211"), "")</f>
        <v>0.1</v>
      </c>
      <c r="I60">
        <f ca="1">IFERROR(INDIRECT("'" &amp; SUBSTITUTE($H$1,"'","''") &amp; "'!C211"), "")</f>
        <v>76</v>
      </c>
      <c r="J60">
        <f ca="1">IFERROR(INDIRECT("'" &amp; SUBSTITUTE($J$1,"'","''") &amp; "'!B211"), "")</f>
        <v>0.11</v>
      </c>
      <c r="K60">
        <f ca="1">IFERROR(INDIRECT("'" &amp; SUBSTITUTE($J$1,"'","''") &amp; "'!C211"), "")</f>
        <v>52</v>
      </c>
      <c r="L60">
        <f ca="1">IFERROR(INDIRECT("'" &amp; SUBSTITUTE($L$1,"'","''") &amp; "'!B211"), "")</f>
        <v>0.59</v>
      </c>
      <c r="M60">
        <f ca="1">IFERROR(INDIRECT("'" &amp; SUBSTITUTE($L$1,"'","''") &amp; "'!C211"), "")</f>
        <v>5</v>
      </c>
      <c r="N60">
        <f ca="1">IFERROR(INDIRECT("'" &amp; SUBSTITUTE($N$1,"'","''") &amp; "'!B211"), "")</f>
        <v>0.21</v>
      </c>
      <c r="O60">
        <f ca="1">IFERROR(INDIRECT("'" &amp; SUBSTITUTE($N$1,"'","''") &amp; "'!C211"), "")</f>
        <v>36</v>
      </c>
      <c r="P60">
        <f ca="1">IFERROR(INDIRECT("'" &amp; SUBSTITUTE($P$1,"'","''") &amp; "'!B211"), "")</f>
        <v>0.11</v>
      </c>
      <c r="Q60">
        <f ca="1">IFERROR(INDIRECT("'" &amp; SUBSTITUTE($P$1,"'","''") &amp; "'!C211"), "")</f>
        <v>65</v>
      </c>
      <c r="R60">
        <f ca="1">IFERROR(INDIRECT("'" &amp; SUBSTITUTE($R$1,"'","''") &amp; "'!B211"), "")</f>
        <v>0.25</v>
      </c>
      <c r="S60">
        <f ca="1">IFERROR(INDIRECT("'" &amp; SUBSTITUTE($R$1,"'","''") &amp; "'!C211"), "")</f>
        <v>23</v>
      </c>
      <c r="T60">
        <f ca="1">IFERROR(INDIRECT("'" &amp; SUBSTITUTE($T$1,"'","''") &amp; "'!B211"), "")</f>
        <v>0.24</v>
      </c>
      <c r="U60">
        <f ca="1">IFERROR(INDIRECT("'" &amp; SUBSTITUTE($T$1,"'","''") &amp; "'!C211"), "")</f>
        <v>26</v>
      </c>
      <c r="V60">
        <f ca="1">IFERROR(INDIRECT("'" &amp; SUBSTITUTE($V$1,"'","''") &amp; "'!B211"), "")</f>
        <v>0.11</v>
      </c>
      <c r="W60">
        <f ca="1">IFERROR(INDIRECT("'" &amp; SUBSTITUTE($V$1,"'","''") &amp; "'!C211"), "")</f>
        <v>78</v>
      </c>
      <c r="X60">
        <f ca="1">IFERROR(INDIRECT("'" &amp; SUBSTITUTE($X$1,"'","''") &amp; "'!B211"), "")</f>
        <v>0.05</v>
      </c>
      <c r="Y60">
        <f ca="1">IFERROR(INDIRECT("'" &amp; SUBSTITUTE($X$1,"'","''") &amp; "'!C211"), "")</f>
        <v>82</v>
      </c>
    </row>
    <row r="61" spans="1:25" x14ac:dyDescent="0.2">
      <c r="A61" t="s">
        <v>59</v>
      </c>
      <c r="B61">
        <f ca="1">IFERROR(INDIRECT("'" &amp; SUBSTITUTE($B$1,"'","''") &amp; "'!B214"), "")</f>
        <v>0.71</v>
      </c>
      <c r="C61">
        <f ca="1">IFERROR(INDIRECT("'" &amp; SUBSTITUTE($B$1,"'","''") &amp; "'!C214"), "")</f>
        <v>57</v>
      </c>
      <c r="D61">
        <f ca="1">IFERROR(INDIRECT("'" &amp; SUBSTITUTE($D$1,"'","''") &amp; "'!B214"), "")</f>
        <v>0.85</v>
      </c>
      <c r="E61">
        <f ca="1">IFERROR(INDIRECT("'" &amp; SUBSTITUTE($D$1,"'","''") &amp; "'!C214"), "")</f>
        <v>39</v>
      </c>
      <c r="F61">
        <f ca="1">IFERROR(INDIRECT("'" &amp; SUBSTITUTE($F$1,"'","''") &amp; "'!B214"), "")</f>
        <v>0.94</v>
      </c>
      <c r="G61">
        <f ca="1">IFERROR(INDIRECT("'" &amp; SUBSTITUTE($F$1,"'","''") &amp; "'!C214"), "")</f>
        <v>30</v>
      </c>
      <c r="H61">
        <f ca="1">IFERROR(INDIRECT("'" &amp; SUBSTITUTE($H$1,"'","''") &amp; "'!B214"), "")</f>
        <v>0.51</v>
      </c>
      <c r="I61">
        <f ca="1">IFERROR(INDIRECT("'" &amp; SUBSTITUTE($H$1,"'","''") &amp; "'!C214"), "")</f>
        <v>83</v>
      </c>
      <c r="J61">
        <f ca="1">IFERROR(INDIRECT("'" &amp; SUBSTITUTE($J$1,"'","''") &amp; "'!B214"), "")</f>
        <v>0.23</v>
      </c>
      <c r="K61">
        <f ca="1">IFERROR(INDIRECT("'" &amp; SUBSTITUTE($J$1,"'","''") &amp; "'!C214"), "")</f>
        <v>79</v>
      </c>
      <c r="L61">
        <f ca="1">IFERROR(INDIRECT("'" &amp; SUBSTITUTE($L$1,"'","''") &amp; "'!B214"), "")</f>
        <v>0.81</v>
      </c>
      <c r="M61">
        <f ca="1">IFERROR(INDIRECT("'" &amp; SUBSTITUTE($L$1,"'","''") &amp; "'!C214"), "")</f>
        <v>63</v>
      </c>
      <c r="N61">
        <f ca="1">IFERROR(INDIRECT("'" &amp; SUBSTITUTE($N$1,"'","''") &amp; "'!B214"), "")</f>
        <v>0.27</v>
      </c>
      <c r="O61">
        <f ca="1">IFERROR(INDIRECT("'" &amp; SUBSTITUTE($N$1,"'","''") &amp; "'!C214"), "")</f>
        <v>98</v>
      </c>
      <c r="P61">
        <f ca="1">IFERROR(INDIRECT("'" &amp; SUBSTITUTE($P$1,"'","''") &amp; "'!B214"), "")</f>
        <v>0.84</v>
      </c>
      <c r="Q61">
        <f ca="1">IFERROR(INDIRECT("'" &amp; SUBSTITUTE($P$1,"'","''") &amp; "'!C214"), "")</f>
        <v>66</v>
      </c>
      <c r="R61">
        <f ca="1">IFERROR(INDIRECT("'" &amp; SUBSTITUTE($R$1,"'","''") &amp; "'!B214"), "")</f>
        <v>1.01</v>
      </c>
      <c r="S61">
        <f ca="1">IFERROR(INDIRECT("'" &amp; SUBSTITUTE($R$1,"'","''") &amp; "'!C214"), "")</f>
        <v>47</v>
      </c>
      <c r="T61">
        <f ca="1">IFERROR(INDIRECT("'" &amp; SUBSTITUTE($T$1,"'","''") &amp; "'!B214"), "")</f>
        <v>0.89</v>
      </c>
      <c r="U61">
        <f ca="1">IFERROR(INDIRECT("'" &amp; SUBSTITUTE($T$1,"'","''") &amp; "'!C214"), "")</f>
        <v>60</v>
      </c>
      <c r="V61">
        <f ca="1">IFERROR(INDIRECT("'" &amp; SUBSTITUTE($V$1,"'","''") &amp; "'!B214"), "")</f>
        <v>0.77</v>
      </c>
      <c r="W61">
        <f ca="1">IFERROR(INDIRECT("'" &amp; SUBSTITUTE($V$1,"'","''") &amp; "'!C214"), "")</f>
        <v>69</v>
      </c>
      <c r="X61">
        <f ca="1">IFERROR(INDIRECT("'" &amp; SUBSTITUTE($X$1,"'","''") &amp; "'!B214"), "")</f>
        <v>0.51</v>
      </c>
      <c r="Y61">
        <f ca="1">IFERROR(INDIRECT("'" &amp; SUBSTITUTE($X$1,"'","''") &amp; "'!C214"), "")</f>
        <v>88</v>
      </c>
    </row>
    <row r="62" spans="1:25" x14ac:dyDescent="0.2">
      <c r="A62" t="s">
        <v>60</v>
      </c>
      <c r="B62">
        <f ca="1">IFERROR(INDIRECT("'" &amp; SUBSTITUTE($B$1,"'","''") &amp; "'!B219"), "")</f>
        <v>1.79</v>
      </c>
      <c r="C62">
        <f ca="1">IFERROR(INDIRECT("'" &amp; SUBSTITUTE($B$1,"'","''") &amp; "'!C219"), "")</f>
        <v>30</v>
      </c>
      <c r="D62">
        <f ca="1">IFERROR(INDIRECT("'" &amp; SUBSTITUTE($D$1,"'","''") &amp; "'!B219"), "")</f>
        <v>2.1800000000000002</v>
      </c>
      <c r="E62">
        <f ca="1">IFERROR(INDIRECT("'" &amp; SUBSTITUTE($D$1,"'","''") &amp; "'!C219"), "")</f>
        <v>48</v>
      </c>
      <c r="F62">
        <f ca="1">IFERROR(INDIRECT("'" &amp; SUBSTITUTE($F$1,"'","''") &amp; "'!B219"), "")</f>
        <v>2.77</v>
      </c>
      <c r="G62">
        <f ca="1">IFERROR(INDIRECT("'" &amp; SUBSTITUTE($F$1,"'","''") &amp; "'!C219"), "")</f>
        <v>72</v>
      </c>
      <c r="H62">
        <f ca="1">IFERROR(INDIRECT("'" &amp; SUBSTITUTE($H$1,"'","''") &amp; "'!B219"), "")</f>
        <v>1.6</v>
      </c>
      <c r="I62">
        <f ca="1">IFERROR(INDIRECT("'" &amp; SUBSTITUTE($H$1,"'","''") &amp; "'!C219"), "")</f>
        <v>21</v>
      </c>
      <c r="J62">
        <f ca="1">IFERROR(INDIRECT("'" &amp; SUBSTITUTE($J$1,"'","''") &amp; "'!B219"), "")</f>
        <v>1.2</v>
      </c>
      <c r="K62">
        <f ca="1">IFERROR(INDIRECT("'" &amp; SUBSTITUTE($J$1,"'","''") &amp; "'!C219"), "")</f>
        <v>81</v>
      </c>
      <c r="L62">
        <f ca="1">IFERROR(INDIRECT("'" &amp; SUBSTITUTE($L$1,"'","''") &amp; "'!B219"), "")</f>
        <v>1.91</v>
      </c>
      <c r="M62">
        <f ca="1">IFERROR(INDIRECT("'" &amp; SUBSTITUTE($L$1,"'","''") &amp; "'!C219"), "")</f>
        <v>23</v>
      </c>
      <c r="N62">
        <f ca="1">IFERROR(INDIRECT("'" &amp; SUBSTITUTE($N$1,"'","''") &amp; "'!B219"), "")</f>
        <v>1.43</v>
      </c>
      <c r="O62">
        <f ca="1">IFERROR(INDIRECT("'" &amp; SUBSTITUTE($N$1,"'","''") &amp; "'!C219"), "")</f>
        <v>11</v>
      </c>
      <c r="P62">
        <f ca="1">IFERROR(INDIRECT("'" &amp; SUBSTITUTE($P$1,"'","''") &amp; "'!B219"), "")</f>
        <v>2.15</v>
      </c>
      <c r="Q62">
        <f ca="1">IFERROR(INDIRECT("'" &amp; SUBSTITUTE($P$1,"'","''") &amp; "'!C219"), "")</f>
        <v>40</v>
      </c>
      <c r="R62">
        <f ca="1">IFERROR(INDIRECT("'" &amp; SUBSTITUTE($R$1,"'","''") &amp; "'!B219"), "")</f>
        <v>3.34</v>
      </c>
      <c r="S62">
        <f ca="1">IFERROR(INDIRECT("'" &amp; SUBSTITUTE($R$1,"'","''") &amp; "'!C219"), "")</f>
        <v>83</v>
      </c>
      <c r="T62">
        <f ca="1">IFERROR(INDIRECT("'" &amp; SUBSTITUTE($T$1,"'","''") &amp; "'!B219"), "")</f>
        <v>2.38</v>
      </c>
      <c r="U62">
        <f ca="1">IFERROR(INDIRECT("'" &amp; SUBSTITUTE($T$1,"'","''") &amp; "'!C219"), "")</f>
        <v>45</v>
      </c>
      <c r="V62">
        <f ca="1">IFERROR(INDIRECT("'" &amp; SUBSTITUTE($V$1,"'","''") &amp; "'!B219"), "")</f>
        <v>1.43</v>
      </c>
      <c r="W62">
        <f ca="1">IFERROR(INDIRECT("'" &amp; SUBSTITUTE($V$1,"'","''") &amp; "'!C219"), "")</f>
        <v>12</v>
      </c>
      <c r="X62">
        <f ca="1">IFERROR(INDIRECT("'" &amp; SUBSTITUTE($X$1,"'","''") &amp; "'!B219"), "")</f>
        <v>1.25</v>
      </c>
      <c r="Y62">
        <f ca="1">IFERROR(INDIRECT("'" &amp; SUBSTITUTE($X$1,"'","''") &amp; "'!C219"), "")</f>
        <v>7</v>
      </c>
    </row>
    <row r="63" spans="1:25" x14ac:dyDescent="0.2">
      <c r="A63" t="s">
        <v>61</v>
      </c>
      <c r="B63">
        <f ca="1">IFERROR(INDIRECT("'" &amp; SUBSTITUTE($B$1,"'","''") &amp; "'!B223"), "")</f>
        <v>1.4</v>
      </c>
      <c r="C63">
        <f ca="1">IFERROR(INDIRECT("'" &amp; SUBSTITUTE($B$1,"'","''") &amp; "'!C223"), "")</f>
        <v>28</v>
      </c>
      <c r="D63">
        <f ca="1">IFERROR(INDIRECT("'" &amp; SUBSTITUTE($D$1,"'","''") &amp; "'!B223"), "")</f>
        <v>1.76</v>
      </c>
      <c r="E63">
        <f ca="1">IFERROR(INDIRECT("'" &amp; SUBSTITUTE($D$1,"'","''") &amp; "'!C223"), "")</f>
        <v>54</v>
      </c>
      <c r="F63">
        <f ca="1">IFERROR(INDIRECT("'" &amp; SUBSTITUTE($F$1,"'","''") &amp; "'!B223"), "")</f>
        <v>1.67</v>
      </c>
      <c r="G63">
        <f ca="1">IFERROR(INDIRECT("'" &amp; SUBSTITUTE($F$1,"'","''") &amp; "'!C223"), "")</f>
        <v>49</v>
      </c>
      <c r="H63">
        <f ca="1">IFERROR(INDIRECT("'" &amp; SUBSTITUTE($H$1,"'","''") &amp; "'!B223"), "")</f>
        <v>1.22</v>
      </c>
      <c r="I63">
        <f ca="1">IFERROR(INDIRECT("'" &amp; SUBSTITUTE($H$1,"'","''") &amp; "'!C223"), "")</f>
        <v>17</v>
      </c>
      <c r="J63">
        <f ca="1">IFERROR(INDIRECT("'" &amp; SUBSTITUTE($J$1,"'","''") &amp; "'!B223"), "")</f>
        <v>1.0900000000000001</v>
      </c>
      <c r="K63">
        <f ca="1">IFERROR(INDIRECT("'" &amp; SUBSTITUTE($J$1,"'","''") &amp; "'!C223"), "")</f>
        <v>86</v>
      </c>
      <c r="L63">
        <f ca="1">IFERROR(INDIRECT("'" &amp; SUBSTITUTE($L$1,"'","''") &amp; "'!B223"), "")</f>
        <v>1.47</v>
      </c>
      <c r="M63">
        <f ca="1">IFERROR(INDIRECT("'" &amp; SUBSTITUTE($L$1,"'","''") &amp; "'!C223"), "")</f>
        <v>21</v>
      </c>
      <c r="N63">
        <f ca="1">IFERROR(INDIRECT("'" &amp; SUBSTITUTE($N$1,"'","''") &amp; "'!B223"), "")</f>
        <v>1.27</v>
      </c>
      <c r="O63">
        <f ca="1">IFERROR(INDIRECT("'" &amp; SUBSTITUTE($N$1,"'","''") &amp; "'!C223"), "")</f>
        <v>14</v>
      </c>
      <c r="P63">
        <f ca="1">IFERROR(INDIRECT("'" &amp; SUBSTITUTE($P$1,"'","''") &amp; "'!B223"), "")</f>
        <v>1.79</v>
      </c>
      <c r="Q63">
        <f ca="1">IFERROR(INDIRECT("'" &amp; SUBSTITUTE($P$1,"'","''") &amp; "'!C223"), "")</f>
        <v>47</v>
      </c>
      <c r="R63">
        <f ca="1">IFERROR(INDIRECT("'" &amp; SUBSTITUTE($R$1,"'","''") &amp; "'!B223"), "")</f>
        <v>2.48</v>
      </c>
      <c r="S63">
        <f ca="1">IFERROR(INDIRECT("'" &amp; SUBSTITUTE($R$1,"'","''") &amp; "'!C223"), "")</f>
        <v>80</v>
      </c>
      <c r="T63">
        <f ca="1">IFERROR(INDIRECT("'" &amp; SUBSTITUTE($T$1,"'","''") &amp; "'!B223"), "")</f>
        <v>1.64</v>
      </c>
      <c r="U63">
        <f ca="1">IFERROR(INDIRECT("'" &amp; SUBSTITUTE($T$1,"'","''") &amp; "'!C223"), "")</f>
        <v>40</v>
      </c>
      <c r="V63">
        <f ca="1">IFERROR(INDIRECT("'" &amp; SUBSTITUTE($V$1,"'","''") &amp; "'!B223"), "")</f>
        <v>1.32</v>
      </c>
      <c r="W63">
        <f ca="1">IFERROR(INDIRECT("'" &amp; SUBSTITUTE($V$1,"'","''") &amp; "'!C223"), "")</f>
        <v>16</v>
      </c>
      <c r="X63">
        <f ca="1">IFERROR(INDIRECT("'" &amp; SUBSTITUTE($X$1,"'","''") &amp; "'!B223"), "")</f>
        <v>1.1499999999999999</v>
      </c>
      <c r="Y63">
        <f ca="1">IFERROR(INDIRECT("'" &amp; SUBSTITUTE($X$1,"'","''") &amp; "'!C223"), "")</f>
        <v>14</v>
      </c>
    </row>
    <row r="64" spans="1:25" x14ac:dyDescent="0.2">
      <c r="A64" t="s">
        <v>62</v>
      </c>
      <c r="B64">
        <f ca="1">IFERROR(INDIRECT("'" &amp; SUBSTITUTE($B$1,"'","''") &amp; "'!B226"), "")</f>
        <v>0</v>
      </c>
      <c r="C64">
        <f ca="1">IFERROR(INDIRECT("'" &amp; SUBSTITUTE($B$1,"'","''") &amp; "'!C226"), "")</f>
        <v>17</v>
      </c>
      <c r="D64">
        <f ca="1">IFERROR(INDIRECT("'" &amp; SUBSTITUTE($D$1,"'","''") &amp; "'!B226"), "")</f>
        <v>0.03</v>
      </c>
      <c r="E64">
        <f ca="1">IFERROR(INDIRECT("'" &amp; SUBSTITUTE($D$1,"'","''") &amp; "'!C226"), "")</f>
        <v>38</v>
      </c>
      <c r="F64">
        <f ca="1">IFERROR(INDIRECT("'" &amp; SUBSTITUTE($F$1,"'","''") &amp; "'!B226"), "")</f>
        <v>0.37</v>
      </c>
      <c r="G64">
        <f ca="1">IFERROR(INDIRECT("'" &amp; SUBSTITUTE($F$1,"'","''") &amp; "'!C226"), "")</f>
        <v>77</v>
      </c>
      <c r="H64">
        <f ca="1">IFERROR(INDIRECT("'" &amp; SUBSTITUTE($H$1,"'","''") &amp; "'!B226"), "")</f>
        <v>0.13</v>
      </c>
      <c r="I64">
        <f ca="1">IFERROR(INDIRECT("'" &amp; SUBSTITUTE($H$1,"'","''") &amp; "'!C226"), "")</f>
        <v>61</v>
      </c>
      <c r="J64">
        <f ca="1">IFERROR(INDIRECT("'" &amp; SUBSTITUTE($J$1,"'","''") &amp; "'!B226"), "")</f>
        <v>0.03</v>
      </c>
      <c r="K64">
        <f ca="1">IFERROR(INDIRECT("'" &amp; SUBSTITUTE($J$1,"'","''") &amp; "'!C226"), "")</f>
        <v>63</v>
      </c>
      <c r="L64">
        <f ca="1">IFERROR(INDIRECT("'" &amp; SUBSTITUTE($L$1,"'","''") &amp; "'!B226"), "")</f>
        <v>0.44</v>
      </c>
      <c r="M64">
        <f ca="1">IFERROR(INDIRECT("'" &amp; SUBSTITUTE($L$1,"'","''") &amp; "'!C226"), "")</f>
        <v>78</v>
      </c>
      <c r="N64">
        <f ca="1">IFERROR(INDIRECT("'" &amp; SUBSTITUTE($N$1,"'","''") &amp; "'!B226"), "")</f>
        <v>0</v>
      </c>
      <c r="O64">
        <f ca="1">IFERROR(INDIRECT("'" &amp; SUBSTITUTE($N$1,"'","''") &amp; "'!C226"), "")</f>
        <v>21</v>
      </c>
      <c r="P64">
        <f ca="1">IFERROR(INDIRECT("'" &amp; SUBSTITUTE($P$1,"'","''") &amp; "'!B226"), "")</f>
        <v>7.0000000000000007E-2</v>
      </c>
      <c r="Q64">
        <f ca="1">IFERROR(INDIRECT("'" &amp; SUBSTITUTE($P$1,"'","''") &amp; "'!C226"), "")</f>
        <v>58</v>
      </c>
      <c r="R64">
        <f ca="1">IFERROR(INDIRECT("'" &amp; SUBSTITUTE($R$1,"'","''") &amp; "'!B226"), "")</f>
        <v>0.71</v>
      </c>
      <c r="S64">
        <f ca="1">IFERROR(INDIRECT("'" &amp; SUBSTITUTE($R$1,"'","''") &amp; "'!C226"), "")</f>
        <v>90</v>
      </c>
      <c r="T64">
        <f ca="1">IFERROR(INDIRECT("'" &amp; SUBSTITUTE($T$1,"'","''") &amp; "'!B226"), "")</f>
        <v>0.33</v>
      </c>
      <c r="U64">
        <f ca="1">IFERROR(INDIRECT("'" &amp; SUBSTITUTE($T$1,"'","''") &amp; "'!C226"), "")</f>
        <v>77</v>
      </c>
      <c r="V64">
        <f ca="1">IFERROR(INDIRECT("'" &amp; SUBSTITUTE($V$1,"'","''") &amp; "'!B226"), "")</f>
        <v>0</v>
      </c>
      <c r="W64">
        <f ca="1">IFERROR(INDIRECT("'" &amp; SUBSTITUTE($V$1,"'","''") &amp; "'!C226"), "")</f>
        <v>21</v>
      </c>
      <c r="X64">
        <f ca="1">IFERROR(INDIRECT("'" &amp; SUBSTITUTE($X$1,"'","''") &amp; "'!B226"), "")</f>
        <v>0</v>
      </c>
      <c r="Y64">
        <f ca="1">IFERROR(INDIRECT("'" &amp; SUBSTITUTE($X$1,"'","''") &amp; "'!C226"), "")</f>
        <v>23</v>
      </c>
    </row>
    <row r="65" spans="1:25" x14ac:dyDescent="0.2">
      <c r="A65" t="s">
        <v>63</v>
      </c>
      <c r="B65">
        <f ca="1">IFERROR(INDIRECT("'" &amp; SUBSTITUTE($B$1,"'","''") &amp; "'!B229"), "")</f>
        <v>7.0000000000000007E-2</v>
      </c>
      <c r="C65">
        <f ca="1">IFERROR(INDIRECT("'" &amp; SUBSTITUTE($B$1,"'","''") &amp; "'!C229"), "")</f>
        <v>59</v>
      </c>
      <c r="D65">
        <f ca="1">IFERROR(INDIRECT("'" &amp; SUBSTITUTE($D$1,"'","''") &amp; "'!B229"), "")</f>
        <v>0.15</v>
      </c>
      <c r="E65">
        <f ca="1">IFERROR(INDIRECT("'" &amp; SUBSTITUTE($D$1,"'","''") &amp; "'!C229"), "")</f>
        <v>85</v>
      </c>
      <c r="F65">
        <f ca="1">IFERROR(INDIRECT("'" &amp; SUBSTITUTE($F$1,"'","''") &amp; "'!B229"), "")</f>
        <v>0.16</v>
      </c>
      <c r="G65">
        <f ca="1">IFERROR(INDIRECT("'" &amp; SUBSTITUTE($F$1,"'","''") &amp; "'!C229"), "")</f>
        <v>86</v>
      </c>
      <c r="H65">
        <f ca="1">IFERROR(INDIRECT("'" &amp; SUBSTITUTE($H$1,"'","''") &amp; "'!B229"), "")</f>
        <v>0.06</v>
      </c>
      <c r="I65">
        <f ca="1">IFERROR(INDIRECT("'" &amp; SUBSTITUTE($H$1,"'","''") &amp; "'!C229"), "")</f>
        <v>57</v>
      </c>
      <c r="J65">
        <f ca="1">IFERROR(INDIRECT("'" &amp; SUBSTITUTE($J$1,"'","''") &amp; "'!B229"), "")</f>
        <v>0</v>
      </c>
      <c r="K65">
        <f ca="1">IFERROR(INDIRECT("'" &amp; SUBSTITUTE($J$1,"'","''") &amp; "'!C229"), "")</f>
        <v>38</v>
      </c>
      <c r="L65">
        <f ca="1">IFERROR(INDIRECT("'" &amp; SUBSTITUTE($L$1,"'","''") &amp; "'!B229"), "")</f>
        <v>0</v>
      </c>
      <c r="M65">
        <f ca="1">IFERROR(INDIRECT("'" &amp; SUBSTITUTE($L$1,"'","''") &amp; "'!C229"), "")</f>
        <v>17</v>
      </c>
      <c r="N65">
        <f ca="1">IFERROR(INDIRECT("'" &amp; SUBSTITUTE($N$1,"'","''") &amp; "'!B229"), "")</f>
        <v>0</v>
      </c>
      <c r="O65">
        <f ca="1">IFERROR(INDIRECT("'" &amp; SUBSTITUTE($N$1,"'","''") &amp; "'!C229"), "")</f>
        <v>17</v>
      </c>
      <c r="P65">
        <f ca="1">IFERROR(INDIRECT("'" &amp; SUBSTITUTE($P$1,"'","''") &amp; "'!B229"), "")</f>
        <v>0.15</v>
      </c>
      <c r="Q65">
        <f ca="1">IFERROR(INDIRECT("'" &amp; SUBSTITUTE($P$1,"'","''") &amp; "'!C229"), "")</f>
        <v>69</v>
      </c>
      <c r="R65">
        <f ca="1">IFERROR(INDIRECT("'" &amp; SUBSTITUTE($R$1,"'","''") &amp; "'!B229"), "")</f>
        <v>0</v>
      </c>
      <c r="S65">
        <f ca="1">IFERROR(INDIRECT("'" &amp; SUBSTITUTE($R$1,"'","''") &amp; "'!C229"), "")</f>
        <v>15</v>
      </c>
      <c r="T65">
        <f ca="1">IFERROR(INDIRECT("'" &amp; SUBSTITUTE($T$1,"'","''") &amp; "'!B229"), "")</f>
        <v>0.09</v>
      </c>
      <c r="U65">
        <f ca="1">IFERROR(INDIRECT("'" &amp; SUBSTITUTE($T$1,"'","''") &amp; "'!C229"), "")</f>
        <v>54</v>
      </c>
      <c r="V65">
        <f ca="1">IFERROR(INDIRECT("'" &amp; SUBSTITUTE($V$1,"'","''") &amp; "'!B229"), "")</f>
        <v>0.11</v>
      </c>
      <c r="W65">
        <f ca="1">IFERROR(INDIRECT("'" &amp; SUBSTITUTE($V$1,"'","''") &amp; "'!C229"), "")</f>
        <v>60</v>
      </c>
      <c r="X65">
        <f ca="1">IFERROR(INDIRECT("'" &amp; SUBSTITUTE($X$1,"'","''") &amp; "'!B229"), "")</f>
        <v>0</v>
      </c>
      <c r="Y65">
        <f ca="1">IFERROR(INDIRECT("'" &amp; SUBSTITUTE($X$1,"'","''") &amp; "'!C229"), "")</f>
        <v>13</v>
      </c>
    </row>
    <row r="66" spans="1:25" x14ac:dyDescent="0.2">
      <c r="A66" t="s">
        <v>64</v>
      </c>
      <c r="B66">
        <f ca="1">IFERROR(INDIRECT("'" &amp; SUBSTITUTE($B$1,"'","''") &amp; "'!B232"), "")</f>
        <v>0.13</v>
      </c>
      <c r="C66">
        <f ca="1">IFERROR(INDIRECT("'" &amp; SUBSTITUTE($B$1,"'","''") &amp; "'!C232"), "")</f>
        <v>62</v>
      </c>
      <c r="D66">
        <f ca="1">IFERROR(INDIRECT("'" &amp; SUBSTITUTE($D$1,"'","''") &amp; "'!B232"), "")</f>
        <v>0.06</v>
      </c>
      <c r="E66">
        <f ca="1">IFERROR(INDIRECT("'" &amp; SUBSTITUTE($D$1,"'","''") &amp; "'!C232"), "")</f>
        <v>34</v>
      </c>
      <c r="F66">
        <f ca="1">IFERROR(INDIRECT("'" &amp; SUBSTITUTE($F$1,"'","''") &amp; "'!B232"), "")</f>
        <v>0.21</v>
      </c>
      <c r="G66">
        <f ca="1">IFERROR(INDIRECT("'" &amp; SUBSTITUTE($F$1,"'","''") &amp; "'!C232"), "")</f>
        <v>84</v>
      </c>
      <c r="H66">
        <f ca="1">IFERROR(INDIRECT("'" &amp; SUBSTITUTE($H$1,"'","''") &amp; "'!B232"), "")</f>
        <v>0</v>
      </c>
      <c r="I66">
        <f ca="1">IFERROR(INDIRECT("'" &amp; SUBSTITUTE($H$1,"'","''") &amp; "'!C232"), "")</f>
        <v>7</v>
      </c>
      <c r="J66">
        <f ca="1">IFERROR(INDIRECT("'" &amp; SUBSTITUTE($J$1,"'","''") &amp; "'!B232"), "")</f>
        <v>0.09</v>
      </c>
      <c r="K66">
        <f ca="1">IFERROR(INDIRECT("'" &amp; SUBSTITUTE($J$1,"'","''") &amp; "'!C232"), "")</f>
        <v>67</v>
      </c>
      <c r="L66">
        <f ca="1">IFERROR(INDIRECT("'" &amp; SUBSTITUTE($L$1,"'","''") &amp; "'!B232"), "")</f>
        <v>0</v>
      </c>
      <c r="M66">
        <f ca="1">IFERROR(INDIRECT("'" &amp; SUBSTITUTE($L$1,"'","''") &amp; "'!C232"), "")</f>
        <v>7</v>
      </c>
      <c r="N66">
        <f ca="1">IFERROR(INDIRECT("'" &amp; SUBSTITUTE($N$1,"'","''") &amp; "'!B232"), "")</f>
        <v>0.12</v>
      </c>
      <c r="O66">
        <f ca="1">IFERROR(INDIRECT("'" &amp; SUBSTITUTE($N$1,"'","''") &amp; "'!C232"), "")</f>
        <v>48</v>
      </c>
      <c r="P66">
        <f ca="1">IFERROR(INDIRECT("'" &amp; SUBSTITUTE($P$1,"'","''") &amp; "'!B232"), "")</f>
        <v>7.0000000000000007E-2</v>
      </c>
      <c r="Q66">
        <f ca="1">IFERROR(INDIRECT("'" &amp; SUBSTITUTE($P$1,"'","''") &amp; "'!C232"), "")</f>
        <v>31</v>
      </c>
      <c r="R66">
        <f ca="1">IFERROR(INDIRECT("'" &amp; SUBSTITUTE($R$1,"'","''") &amp; "'!B232"), "")</f>
        <v>0.1</v>
      </c>
      <c r="S66">
        <f ca="1">IFERROR(INDIRECT("'" &amp; SUBSTITUTE($R$1,"'","''") &amp; "'!C232"), "")</f>
        <v>45</v>
      </c>
      <c r="T66">
        <f ca="1">IFERROR(INDIRECT("'" &amp; SUBSTITUTE($T$1,"'","''") &amp; "'!B232"), "")</f>
        <v>0.12</v>
      </c>
      <c r="U66">
        <f ca="1">IFERROR(INDIRECT("'" &amp; SUBSTITUTE($T$1,"'","''") &amp; "'!C232"), "")</f>
        <v>54</v>
      </c>
      <c r="V66">
        <f ca="1">IFERROR(INDIRECT("'" &amp; SUBSTITUTE($V$1,"'","''") &amp; "'!B232"), "")</f>
        <v>0</v>
      </c>
      <c r="W66">
        <f ca="1">IFERROR(INDIRECT("'" &amp; SUBSTITUTE($V$1,"'","''") &amp; "'!C232"), "")</f>
        <v>7</v>
      </c>
      <c r="X66">
        <f ca="1">IFERROR(INDIRECT("'" &amp; SUBSTITUTE($X$1,"'","''") &amp; "'!B232"), "")</f>
        <v>0.05</v>
      </c>
      <c r="Y66">
        <f ca="1">IFERROR(INDIRECT("'" &amp; SUBSTITUTE($X$1,"'","''") &amp; "'!C232"), "")</f>
        <v>21</v>
      </c>
    </row>
    <row r="67" spans="1:25" x14ac:dyDescent="0.2">
      <c r="A67" t="s">
        <v>65</v>
      </c>
      <c r="B67">
        <f ca="1">IFERROR(INDIRECT("'" &amp; SUBSTITUTE($B$1,"'","''") &amp; "'!B235"), "")</f>
        <v>0.13</v>
      </c>
      <c r="C67">
        <f ca="1">IFERROR(INDIRECT("'" &amp; SUBSTITUTE($B$1,"'","''") &amp; "'!C235"), "")</f>
        <v>78</v>
      </c>
      <c r="D67">
        <f ca="1">IFERROR(INDIRECT("'" &amp; SUBSTITUTE($D$1,"'","''") &amp; "'!B235"), "")</f>
        <v>0.06</v>
      </c>
      <c r="E67">
        <f ca="1">IFERROR(INDIRECT("'" &amp; SUBSTITUTE($D$1,"'","''") &amp; "'!C235"), "")</f>
        <v>47</v>
      </c>
      <c r="F67">
        <f ca="1">IFERROR(INDIRECT("'" &amp; SUBSTITUTE($F$1,"'","''") &amp; "'!B235"), "")</f>
        <v>0.37</v>
      </c>
      <c r="G67">
        <f ca="1">IFERROR(INDIRECT("'" &amp; SUBSTITUTE($F$1,"'","''") &amp; "'!C235"), "")</f>
        <v>99</v>
      </c>
      <c r="H67">
        <f ca="1">IFERROR(INDIRECT("'" &amp; SUBSTITUTE($H$1,"'","''") &amp; "'!B235"), "")</f>
        <v>0.06</v>
      </c>
      <c r="I67">
        <f ca="1">IFERROR(INDIRECT("'" &amp; SUBSTITUTE($H$1,"'","''") &amp; "'!C235"), "")</f>
        <v>49</v>
      </c>
      <c r="J67">
        <f ca="1">IFERROR(INDIRECT("'" &amp; SUBSTITUTE($J$1,"'","''") &amp; "'!B235"), "")</f>
        <v>0</v>
      </c>
      <c r="K67">
        <f ca="1">IFERROR(INDIRECT("'" &amp; SUBSTITUTE($J$1,"'","''") &amp; "'!C235"), "")</f>
        <v>31</v>
      </c>
      <c r="L67">
        <f ca="1">IFERROR(INDIRECT("'" &amp; SUBSTITUTE($L$1,"'","''") &amp; "'!B235"), "")</f>
        <v>0</v>
      </c>
      <c r="M67">
        <f ca="1">IFERROR(INDIRECT("'" &amp; SUBSTITUTE($L$1,"'","''") &amp; "'!C235"), "")</f>
        <v>14</v>
      </c>
      <c r="N67">
        <f ca="1">IFERROR(INDIRECT("'" &amp; SUBSTITUTE($N$1,"'","''") &amp; "'!B235"), "")</f>
        <v>0.03</v>
      </c>
      <c r="O67">
        <f ca="1">IFERROR(INDIRECT("'" &amp; SUBSTITUTE($N$1,"'","''") &amp; "'!C235"), "")</f>
        <v>32</v>
      </c>
      <c r="P67">
        <f ca="1">IFERROR(INDIRECT("'" &amp; SUBSTITUTE($P$1,"'","''") &amp; "'!B235"), "")</f>
        <v>7.0000000000000007E-2</v>
      </c>
      <c r="Q67">
        <f ca="1">IFERROR(INDIRECT("'" &amp; SUBSTITUTE($P$1,"'","''") &amp; "'!C235"), "")</f>
        <v>43</v>
      </c>
      <c r="R67">
        <f ca="1">IFERROR(INDIRECT("'" &amp; SUBSTITUTE($R$1,"'","''") &amp; "'!B235"), "")</f>
        <v>0.05</v>
      </c>
      <c r="S67">
        <f ca="1">IFERROR(INDIRECT("'" &amp; SUBSTITUTE($R$1,"'","''") &amp; "'!C235"), "")</f>
        <v>32</v>
      </c>
      <c r="T67">
        <f ca="1">IFERROR(INDIRECT("'" &amp; SUBSTITUTE($T$1,"'","''") &amp; "'!B235"), "")</f>
        <v>0.09</v>
      </c>
      <c r="U67">
        <f ca="1">IFERROR(INDIRECT("'" &amp; SUBSTITUTE($T$1,"'","''") &amp; "'!C235"), "")</f>
        <v>49</v>
      </c>
      <c r="V67">
        <f ca="1">IFERROR(INDIRECT("'" &amp; SUBSTITUTE($V$1,"'","''") &amp; "'!B235"), "")</f>
        <v>0</v>
      </c>
      <c r="W67">
        <f ca="1">IFERROR(INDIRECT("'" &amp; SUBSTITUTE($V$1,"'","''") &amp; "'!C235"), "")</f>
        <v>14</v>
      </c>
      <c r="X67">
        <f ca="1">IFERROR(INDIRECT("'" &amp; SUBSTITUTE($X$1,"'","''") &amp; "'!B235"), "")</f>
        <v>0</v>
      </c>
      <c r="Y67">
        <f ca="1">IFERROR(INDIRECT("'" &amp; SUBSTITUTE($X$1,"'","''") &amp; "'!C235"), "")</f>
        <v>11</v>
      </c>
    </row>
    <row r="68" spans="1:25" x14ac:dyDescent="0.2">
      <c r="A68" t="s">
        <v>66</v>
      </c>
      <c r="B68">
        <f ca="1">IFERROR(INDIRECT("'" &amp; SUBSTITUTE($B$1,"'","''") &amp; "'!B238"), "")</f>
        <v>7.0000000000000007E-2</v>
      </c>
      <c r="C68">
        <f ca="1">IFERROR(INDIRECT("'" &amp; SUBSTITUTE($B$1,"'","''") &amp; "'!C238"), "")</f>
        <v>68</v>
      </c>
      <c r="D68">
        <f ca="1">IFERROR(INDIRECT("'" &amp; SUBSTITUTE($D$1,"'","''") &amp; "'!B238"), "")</f>
        <v>0.12</v>
      </c>
      <c r="E68">
        <f ca="1">IFERROR(INDIRECT("'" &amp; SUBSTITUTE($D$1,"'","''") &amp; "'!C238"), "")</f>
        <v>91</v>
      </c>
      <c r="F68">
        <f ca="1">IFERROR(INDIRECT("'" &amp; SUBSTITUTE($F$1,"'","''") &amp; "'!B238"), "")</f>
        <v>0</v>
      </c>
      <c r="G68">
        <f ca="1">IFERROR(INDIRECT("'" &amp; SUBSTITUTE($F$1,"'","''") &amp; "'!C238"), "")</f>
        <v>14</v>
      </c>
      <c r="H68">
        <f ca="1">IFERROR(INDIRECT("'" &amp; SUBSTITUTE($H$1,"'","''") &amp; "'!B238"), "")</f>
        <v>0.13</v>
      </c>
      <c r="I68">
        <f ca="1">IFERROR(INDIRECT("'" &amp; SUBSTITUTE($H$1,"'","''") &amp; "'!C238"), "")</f>
        <v>93</v>
      </c>
      <c r="J68">
        <f ca="1">IFERROR(INDIRECT("'" &amp; SUBSTITUTE($J$1,"'","''") &amp; "'!B238"), "")</f>
        <v>0</v>
      </c>
      <c r="K68">
        <f ca="1">IFERROR(INDIRECT("'" &amp; SUBSTITUTE($J$1,"'","''") &amp; "'!C238"), "")</f>
        <v>27</v>
      </c>
      <c r="L68">
        <f ca="1">IFERROR(INDIRECT("'" &amp; SUBSTITUTE($L$1,"'","''") &amp; "'!B238"), "")</f>
        <v>0</v>
      </c>
      <c r="M68">
        <f ca="1">IFERROR(INDIRECT("'" &amp; SUBSTITUTE($L$1,"'","''") &amp; "'!C238"), "")</f>
        <v>21</v>
      </c>
      <c r="N68">
        <f ca="1">IFERROR(INDIRECT("'" &amp; SUBSTITUTE($N$1,"'","''") &amp; "'!B238"), "")</f>
        <v>0</v>
      </c>
      <c r="O68">
        <f ca="1">IFERROR(INDIRECT("'" &amp; SUBSTITUTE($N$1,"'","''") &amp; "'!C238"), "")</f>
        <v>21</v>
      </c>
      <c r="P68">
        <f ca="1">IFERROR(INDIRECT("'" &amp; SUBSTITUTE($P$1,"'","''") &amp; "'!B238"), "")</f>
        <v>0</v>
      </c>
      <c r="Q68">
        <f ca="1">IFERROR(INDIRECT("'" &amp; SUBSTITUTE($P$1,"'","''") &amp; "'!C238"), "")</f>
        <v>21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21</v>
      </c>
      <c r="T68">
        <f ca="1">IFERROR(INDIRECT("'" &amp; SUBSTITUTE($T$1,"'","''") &amp; "'!B238"), "")</f>
        <v>0.12</v>
      </c>
      <c r="U68">
        <f ca="1">IFERROR(INDIRECT("'" &amp; SUBSTITUTE($T$1,"'","''") &amp; "'!C238"), "")</f>
        <v>88</v>
      </c>
      <c r="V68">
        <f ca="1">IFERROR(INDIRECT("'" &amp; SUBSTITUTE($V$1,"'","''") &amp; "'!B238"), "")</f>
        <v>0</v>
      </c>
      <c r="W68">
        <f ca="1">IFERROR(INDIRECT("'" &amp; SUBSTITUTE($V$1,"'","''") &amp; "'!C238"), "")</f>
        <v>21</v>
      </c>
      <c r="X68">
        <f ca="1">IFERROR(INDIRECT("'" &amp; SUBSTITUTE($X$1,"'","''") &amp; "'!B238"), "")</f>
        <v>0.05</v>
      </c>
      <c r="Y68">
        <f ca="1">IFERROR(INDIRECT("'" &amp; SUBSTITUTE($X$1,"'","''") &amp; "'!C238"), "")</f>
        <v>58</v>
      </c>
    </row>
    <row r="69" spans="1:25" x14ac:dyDescent="0.2">
      <c r="A69" t="s">
        <v>67</v>
      </c>
      <c r="B69">
        <f ca="1">IFERROR(INDIRECT("'" &amp; SUBSTITUTE($B$1,"'","''") &amp; "'!B242"), "")</f>
        <v>0.16</v>
      </c>
      <c r="C69">
        <f ca="1">IFERROR(INDIRECT("'" &amp; SUBSTITUTE($B$1,"'","''") &amp; "'!C242"), "")</f>
        <v>34</v>
      </c>
      <c r="D69">
        <f ca="1">IFERROR(INDIRECT("'" &amp; SUBSTITUTE($D$1,"'","''") &amp; "'!B242"), "")</f>
        <v>0.12</v>
      </c>
      <c r="E69">
        <f ca="1">IFERROR(INDIRECT("'" &amp; SUBSTITUTE($D$1,"'","''") &amp; "'!C242"), "")</f>
        <v>24</v>
      </c>
      <c r="F69">
        <f ca="1">IFERROR(INDIRECT("'" &amp; SUBSTITUTE($F$1,"'","''") &amp; "'!B242"), "")</f>
        <v>0.52</v>
      </c>
      <c r="G69">
        <f ca="1">IFERROR(INDIRECT("'" &amp; SUBSTITUTE($F$1,"'","''") &amp; "'!C242"), "")</f>
        <v>91</v>
      </c>
      <c r="H69">
        <f ca="1">IFERROR(INDIRECT("'" &amp; SUBSTITUTE($H$1,"'","''") &amp; "'!B242"), "")</f>
        <v>0.1</v>
      </c>
      <c r="I69">
        <f ca="1">IFERROR(INDIRECT("'" &amp; SUBSTITUTE($H$1,"'","''") &amp; "'!C242"), "")</f>
        <v>15</v>
      </c>
      <c r="J69">
        <f ca="1">IFERROR(INDIRECT("'" &amp; SUBSTITUTE($J$1,"'","''") &amp; "'!B242"), "")</f>
        <v>0.17</v>
      </c>
      <c r="K69">
        <f ca="1">IFERROR(INDIRECT("'" &amp; SUBSTITUTE($J$1,"'","''") &amp; "'!C242"), "")</f>
        <v>86</v>
      </c>
      <c r="L69">
        <f ca="1">IFERROR(INDIRECT("'" &amp; SUBSTITUTE($L$1,"'","''") &amp; "'!B242"), "")</f>
        <v>0.37</v>
      </c>
      <c r="M69">
        <f ca="1">IFERROR(INDIRECT("'" &amp; SUBSTITUTE($L$1,"'","''") &amp; "'!C242"), "")</f>
        <v>71</v>
      </c>
      <c r="N69">
        <f ca="1">IFERROR(INDIRECT("'" &amp; SUBSTITUTE($N$1,"'","''") &amp; "'!B242"), "")</f>
        <v>0.15</v>
      </c>
      <c r="O69">
        <f ca="1">IFERROR(INDIRECT("'" &amp; SUBSTITUTE($N$1,"'","''") &amp; "'!C242"), "")</f>
        <v>30</v>
      </c>
      <c r="P69">
        <f ca="1">IFERROR(INDIRECT("'" &amp; SUBSTITUTE($P$1,"'","''") &amp; "'!B242"), "")</f>
        <v>0.18</v>
      </c>
      <c r="Q69">
        <f ca="1">IFERROR(INDIRECT("'" &amp; SUBSTITUTE($P$1,"'","''") &amp; "'!C242"), "")</f>
        <v>42</v>
      </c>
      <c r="R69">
        <f ca="1">IFERROR(INDIRECT("'" &amp; SUBSTITUTE($R$1,"'","''") &amp; "'!B242"), "")</f>
        <v>0.15</v>
      </c>
      <c r="S69">
        <f ca="1">IFERROR(INDIRECT("'" &amp; SUBSTITUTE($R$1,"'","''") &amp; "'!C242"), "")</f>
        <v>30</v>
      </c>
      <c r="T69">
        <f ca="1">IFERROR(INDIRECT("'" &amp; SUBSTITUTE($T$1,"'","''") &amp; "'!B242"), "")</f>
        <v>0.09</v>
      </c>
      <c r="U69">
        <f ca="1">IFERROR(INDIRECT("'" &amp; SUBSTITUTE($T$1,"'","''") &amp; "'!C242"), "")</f>
        <v>20</v>
      </c>
      <c r="V69">
        <f ca="1">IFERROR(INDIRECT("'" &amp; SUBSTITUTE($V$1,"'","''") &amp; "'!B242"), "")</f>
        <v>0.22</v>
      </c>
      <c r="W69">
        <f ca="1">IFERROR(INDIRECT("'" &amp; SUBSTITUTE($V$1,"'","''") &amp; "'!C242"), "")</f>
        <v>45</v>
      </c>
      <c r="X69">
        <f ca="1">IFERROR(INDIRECT("'" &amp; SUBSTITUTE($X$1,"'","''") &amp; "'!B242"), "")</f>
        <v>0.32</v>
      </c>
      <c r="Y69">
        <f ca="1">IFERROR(INDIRECT("'" &amp; SUBSTITUTE($X$1,"'","''") &amp; "'!C242"), "")</f>
        <v>73</v>
      </c>
    </row>
    <row r="70" spans="1:25" x14ac:dyDescent="0.2">
      <c r="A70" t="s">
        <v>68</v>
      </c>
      <c r="B70">
        <f ca="1">IFERROR(INDIRECT("'" &amp; SUBSTITUTE($B$1,"'","''") &amp; "'!B246"), "")</f>
        <v>0.16</v>
      </c>
      <c r="C70">
        <f ca="1">IFERROR(INDIRECT("'" &amp; SUBSTITUTE($B$1,"'","''") &amp; "'!C246"), "")</f>
        <v>48</v>
      </c>
      <c r="D70">
        <f ca="1">IFERROR(INDIRECT("'" &amp; SUBSTITUTE($D$1,"'","''") &amp; "'!B246"), "")</f>
        <v>0.12</v>
      </c>
      <c r="E70">
        <f ca="1">IFERROR(INDIRECT("'" &amp; SUBSTITUTE($D$1,"'","''") &amp; "'!C246"), "")</f>
        <v>35</v>
      </c>
      <c r="F70">
        <f ca="1">IFERROR(INDIRECT("'" &amp; SUBSTITUTE($F$1,"'","''") &amp; "'!B246"), "")</f>
        <v>0.42</v>
      </c>
      <c r="G70">
        <f ca="1">IFERROR(INDIRECT("'" &amp; SUBSTITUTE($F$1,"'","''") &amp; "'!C246"), "")</f>
        <v>93</v>
      </c>
      <c r="H70">
        <f ca="1">IFERROR(INDIRECT("'" &amp; SUBSTITUTE($H$1,"'","''") &amp; "'!B246"), "")</f>
        <v>0.06</v>
      </c>
      <c r="I70">
        <f ca="1">IFERROR(INDIRECT("'" &amp; SUBSTITUTE($H$1,"'","''") &amp; "'!C246"), "")</f>
        <v>18</v>
      </c>
      <c r="J70">
        <f ca="1">IFERROR(INDIRECT("'" &amp; SUBSTITUTE($J$1,"'","''") &amp; "'!B246"), "")</f>
        <v>0.11</v>
      </c>
      <c r="K70">
        <f ca="1">IFERROR(INDIRECT("'" &amp; SUBSTITUTE($J$1,"'","''") &amp; "'!C246"), "")</f>
        <v>78</v>
      </c>
      <c r="L70">
        <f ca="1">IFERROR(INDIRECT("'" &amp; SUBSTITUTE($L$1,"'","''") &amp; "'!B246"), "")</f>
        <v>0.28999999999999998</v>
      </c>
      <c r="M70">
        <f ca="1">IFERROR(INDIRECT("'" &amp; SUBSTITUTE($L$1,"'","''") &amp; "'!C246"), "")</f>
        <v>75</v>
      </c>
      <c r="N70">
        <f ca="1">IFERROR(INDIRECT("'" &amp; SUBSTITUTE($N$1,"'","''") &amp; "'!B246"), "")</f>
        <v>0.12</v>
      </c>
      <c r="O70">
        <f ca="1">IFERROR(INDIRECT("'" &amp; SUBSTITUTE($N$1,"'","''") &amp; "'!C246"), "")</f>
        <v>30</v>
      </c>
      <c r="P70">
        <f ca="1">IFERROR(INDIRECT("'" &amp; SUBSTITUTE($P$1,"'","''") &amp; "'!B246"), "")</f>
        <v>0.11</v>
      </c>
      <c r="Q70">
        <f ca="1">IFERROR(INDIRECT("'" &amp; SUBSTITUTE($P$1,"'","''") &amp; "'!C246"), "")</f>
        <v>37</v>
      </c>
      <c r="R70">
        <f ca="1">IFERROR(INDIRECT("'" &amp; SUBSTITUTE($R$1,"'","''") &amp; "'!B246"), "")</f>
        <v>0.15</v>
      </c>
      <c r="S70">
        <f ca="1">IFERROR(INDIRECT("'" &amp; SUBSTITUTE($R$1,"'","''") &amp; "'!C246"), "")</f>
        <v>50</v>
      </c>
      <c r="T70">
        <f ca="1">IFERROR(INDIRECT("'" &amp; SUBSTITUTE($T$1,"'","''") &amp; "'!B246"), "")</f>
        <v>0.06</v>
      </c>
      <c r="U70">
        <f ca="1">IFERROR(INDIRECT("'" &amp; SUBSTITUTE($T$1,"'","''") &amp; "'!C246"), "")</f>
        <v>23</v>
      </c>
      <c r="V70">
        <f ca="1">IFERROR(INDIRECT("'" &amp; SUBSTITUTE($V$1,"'","''") &amp; "'!B246"), "")</f>
        <v>0.22</v>
      </c>
      <c r="W70">
        <f ca="1">IFERROR(INDIRECT("'" &amp; SUBSTITUTE($V$1,"'","''") &amp; "'!C246"), "")</f>
        <v>64</v>
      </c>
      <c r="X70">
        <f ca="1">IFERROR(INDIRECT("'" &amp; SUBSTITUTE($X$1,"'","''") &amp; "'!B246"), "")</f>
        <v>0.23</v>
      </c>
      <c r="Y70">
        <f ca="1">IFERROR(INDIRECT("'" &amp; SUBSTITUTE($X$1,"'","''") &amp; "'!C246"), "")</f>
        <v>70</v>
      </c>
    </row>
    <row r="71" spans="1:25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35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35</v>
      </c>
      <c r="F71">
        <f ca="1">IFERROR(INDIRECT("'" &amp; SUBSTITUTE($F$1,"'","''") &amp; "'!B249"), "")</f>
        <v>0.05</v>
      </c>
      <c r="G71">
        <f ca="1">IFERROR(INDIRECT("'" &amp; SUBSTITUTE($F$1,"'","''") &amp; "'!C249"), "")</f>
        <v>85</v>
      </c>
      <c r="H71">
        <f ca="1">IFERROR(INDIRECT("'" &amp; SUBSTITUTE($H$1,"'","''") &amp; "'!B249"), "")</f>
        <v>0.03</v>
      </c>
      <c r="I71">
        <f ca="1">IFERROR(INDIRECT("'" &amp; SUBSTITUTE($H$1,"'","''") &amp; "'!C249"), "")</f>
        <v>75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47</v>
      </c>
      <c r="L71">
        <f ca="1">IFERROR(INDIRECT("'" &amp; SUBSTITUTE($L$1,"'","''") &amp; "'!B249"), "")</f>
        <v>7.0000000000000007E-2</v>
      </c>
      <c r="M71">
        <f ca="1">IFERROR(INDIRECT("'" &amp; SUBSTITUTE($L$1,"'","''") &amp; "'!C249"), "")</f>
        <v>88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37</v>
      </c>
      <c r="P71">
        <f ca="1">IFERROR(INDIRECT("'" &amp; SUBSTITUTE($P$1,"'","''") &amp; "'!B249"), "")</f>
        <v>0</v>
      </c>
      <c r="Q71">
        <f ca="1">IFERROR(INDIRECT("'" &amp; SUBSTITUTE($P$1,"'","''") &amp; "'!C249"), "")</f>
        <v>40</v>
      </c>
      <c r="R71">
        <f ca="1">IFERROR(INDIRECT("'" &amp; SUBSTITUTE($R$1,"'","''") &amp; "'!B249"), "")</f>
        <v>0</v>
      </c>
      <c r="S71">
        <f ca="1">IFERROR(INDIRECT("'" &amp; SUBSTITUTE($R$1,"'","''") &amp; "'!C249"), "")</f>
        <v>40</v>
      </c>
      <c r="T71">
        <f ca="1">IFERROR(INDIRECT("'" &amp; SUBSTITUTE($T$1,"'","''") &amp; "'!B249"), "")</f>
        <v>0.03</v>
      </c>
      <c r="U71">
        <f ca="1">IFERROR(INDIRECT("'" &amp; SUBSTITUTE($T$1,"'","''") &amp; "'!C249"), "")</f>
        <v>81</v>
      </c>
      <c r="V71">
        <f ca="1">IFERROR(INDIRECT("'" &amp; SUBSTITUTE($V$1,"'","''") &amp; "'!B249"), "")</f>
        <v>0</v>
      </c>
      <c r="W71">
        <f ca="1">IFERROR(INDIRECT("'" &amp; SUBSTITUTE($V$1,"'","''") &amp; "'!C249"), "")</f>
        <v>37</v>
      </c>
      <c r="X71">
        <f ca="1">IFERROR(INDIRECT("'" &amp; SUBSTITUTE($X$1,"'","''") &amp; "'!B249"), "")</f>
        <v>0</v>
      </c>
      <c r="Y71">
        <f ca="1">IFERROR(INDIRECT("'" &amp; SUBSTITUTE($X$1,"'","''") &amp; "'!C249"), "")</f>
        <v>37</v>
      </c>
    </row>
    <row r="72" spans="1:25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42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42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42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42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48</v>
      </c>
      <c r="L72">
        <f ca="1">IFERROR(INDIRECT("'" &amp; SUBSTITUTE($L$1,"'","''") &amp; "'!B252"), "")</f>
        <v>0</v>
      </c>
      <c r="M72">
        <f ca="1">IFERROR(INDIRECT("'" &amp; SUBSTITUTE($L$1,"'","''") &amp; "'!C252"), "")</f>
        <v>41</v>
      </c>
      <c r="N72">
        <f ca="1">IFERROR(INDIRECT("'" &amp; SUBSTITUTE($N$1,"'","''") &amp; "'!B252"), "")</f>
        <v>0</v>
      </c>
      <c r="O72">
        <f ca="1">IFERROR(INDIRECT("'" &amp; SUBSTITUTE($N$1,"'","''") &amp; "'!C252"), "")</f>
        <v>41</v>
      </c>
      <c r="P72">
        <f ca="1">IFERROR(INDIRECT("'" &amp; SUBSTITUTE($P$1,"'","''") &amp; "'!B252"), "")</f>
        <v>7.0000000000000007E-2</v>
      </c>
      <c r="Q72">
        <f ca="1">IFERROR(INDIRECT("'" &amp; SUBSTITUTE($P$1,"'","''") &amp; "'!C252"), "")</f>
        <v>94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39</v>
      </c>
      <c r="T72">
        <f ca="1">IFERROR(INDIRECT("'" &amp; SUBSTITUTE($T$1,"'","''") &amp; "'!B252"), "")</f>
        <v>0</v>
      </c>
      <c r="U72">
        <f ca="1">IFERROR(INDIRECT("'" &amp; SUBSTITUTE($T$1,"'","''") &amp; "'!C252"), "")</f>
        <v>39</v>
      </c>
      <c r="V72">
        <f ca="1">IFERROR(INDIRECT("'" &amp; SUBSTITUTE($V$1,"'","''") &amp; "'!B252"), "")</f>
        <v>0</v>
      </c>
      <c r="W72">
        <f ca="1">IFERROR(INDIRECT("'" &amp; SUBSTITUTE($V$1,"'","''") &amp; "'!C252"), "")</f>
        <v>41</v>
      </c>
      <c r="X72">
        <f ca="1">IFERROR(INDIRECT("'" &amp; SUBSTITUTE($X$1,"'","''") &amp; "'!B252"), "")</f>
        <v>0</v>
      </c>
      <c r="Y72">
        <f ca="1">IFERROR(INDIRECT("'" &amp; SUBSTITUTE($X$1,"'","''") &amp; "'!C252"), "")</f>
        <v>40</v>
      </c>
    </row>
    <row r="73" spans="1:25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33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33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33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33</v>
      </c>
      <c r="J73">
        <f ca="1">IFERROR(INDIRECT("'" &amp; SUBSTITUTE($J$1,"'","''") &amp; "'!B255"), "")</f>
        <v>0.06</v>
      </c>
      <c r="K73">
        <f ca="1">IFERROR(INDIRECT("'" &amp; SUBSTITUTE($J$1,"'","''") &amp; "'!C255"), "")</f>
        <v>94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35</v>
      </c>
      <c r="N73">
        <f ca="1">IFERROR(INDIRECT("'" &amp; SUBSTITUTE($N$1,"'","''") &amp; "'!B255"), "")</f>
        <v>0</v>
      </c>
      <c r="O73">
        <f ca="1">IFERROR(INDIRECT("'" &amp; SUBSTITUTE($N$1,"'","''") &amp; "'!C255"), "")</f>
        <v>35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36</v>
      </c>
      <c r="R73">
        <f ca="1">IFERROR(INDIRECT("'" &amp; SUBSTITUTE($R$1,"'","''") &amp; "'!B255"), "")</f>
        <v>0</v>
      </c>
      <c r="S73">
        <f ca="1">IFERROR(INDIRECT("'" &amp; SUBSTITUTE($R$1,"'","''") &amp; "'!C255"), "")</f>
        <v>36</v>
      </c>
      <c r="T73">
        <f ca="1">IFERROR(INDIRECT("'" &amp; SUBSTITUTE($T$1,"'","''") &amp; "'!B255"), "")</f>
        <v>0</v>
      </c>
      <c r="U73">
        <f ca="1">IFERROR(INDIRECT("'" &amp; SUBSTITUTE($T$1,"'","''") &amp; "'!C255"), "")</f>
        <v>36</v>
      </c>
      <c r="V73">
        <f ca="1">IFERROR(INDIRECT("'" &amp; SUBSTITUTE($V$1,"'","''") &amp; "'!B255"), "")</f>
        <v>0</v>
      </c>
      <c r="W73">
        <f ca="1">IFERROR(INDIRECT("'" &amp; SUBSTITUTE($V$1,"'","''") &amp; "'!C255"), "")</f>
        <v>35</v>
      </c>
      <c r="X73">
        <f ca="1">IFERROR(INDIRECT("'" &amp; SUBSTITUTE($X$1,"'","''") &amp; "'!B255"), "")</f>
        <v>0.05</v>
      </c>
      <c r="Y73">
        <f ca="1">IFERROR(INDIRECT("'" &amp; SUBSTITUTE($X$1,"'","''") &amp; "'!C255"), "")</f>
        <v>83</v>
      </c>
    </row>
    <row r="74" spans="1:25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38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38</v>
      </c>
      <c r="F74">
        <f ca="1">IFERROR(INDIRECT("'" &amp; SUBSTITUTE($F$1,"'","''") &amp; "'!B258"), "")</f>
        <v>0.05</v>
      </c>
      <c r="G74">
        <f ca="1">IFERROR(INDIRECT("'" &amp; SUBSTITUTE($F$1,"'","''") &amp; "'!C258"), "")</f>
        <v>95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38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43</v>
      </c>
      <c r="L74">
        <f ca="1">IFERROR(INDIRECT("'" &amp; SUBSTITUTE($L$1,"'","''") &amp; "'!B258"), "")</f>
        <v>0</v>
      </c>
      <c r="M74">
        <f ca="1">IFERROR(INDIRECT("'" &amp; SUBSTITUTE($L$1,"'","''") &amp; "'!C258"), "")</f>
        <v>38</v>
      </c>
      <c r="N74">
        <f ca="1">IFERROR(INDIRECT("'" &amp; SUBSTITUTE($N$1,"'","''") &amp; "'!B258"), "")</f>
        <v>0.03</v>
      </c>
      <c r="O74">
        <f ca="1">IFERROR(INDIRECT("'" &amp; SUBSTITUTE($N$1,"'","''") &amp; "'!C258"), "")</f>
        <v>82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36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36</v>
      </c>
      <c r="T74">
        <f ca="1">IFERROR(INDIRECT("'" &amp; SUBSTITUTE($T$1,"'","''") &amp; "'!B258"), "")</f>
        <v>0</v>
      </c>
      <c r="U74">
        <f ca="1">IFERROR(INDIRECT("'" &amp; SUBSTITUTE($T$1,"'","''") &amp; "'!C258"), "")</f>
        <v>36</v>
      </c>
      <c r="V74">
        <f ca="1">IFERROR(INDIRECT("'" &amp; SUBSTITUTE($V$1,"'","''") &amp; "'!B258"), "")</f>
        <v>0</v>
      </c>
      <c r="W74">
        <f ca="1">IFERROR(INDIRECT("'" &amp; SUBSTITUTE($V$1,"'","''") &amp; "'!C258"), "")</f>
        <v>38</v>
      </c>
      <c r="X74">
        <f ca="1">IFERROR(INDIRECT("'" &amp; SUBSTITUTE($X$1,"'","''") &amp; "'!B258"), "")</f>
        <v>0</v>
      </c>
      <c r="Y74">
        <f ca="1">IFERROR(INDIRECT("'" &amp; SUBSTITUTE($X$1,"'","''") &amp; "'!C258"), "")</f>
        <v>41</v>
      </c>
    </row>
    <row r="75" spans="1:25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44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44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44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44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47</v>
      </c>
      <c r="L75">
        <f ca="1">IFERROR(INDIRECT("'" &amp; SUBSTITUTE($L$1,"'","''") &amp; "'!B261"), "")</f>
        <v>0</v>
      </c>
      <c r="M75">
        <f ca="1">IFERROR(INDIRECT("'" &amp; SUBSTITUTE($L$1,"'","''") &amp; "'!C261"), "")</f>
        <v>44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44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44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44</v>
      </c>
      <c r="T75">
        <f ca="1">IFERROR(INDIRECT("'" &amp; SUBSTITUTE($T$1,"'","''") &amp; "'!B261"), "")</f>
        <v>0</v>
      </c>
      <c r="U75">
        <f ca="1">IFERROR(INDIRECT("'" &amp; SUBSTITUTE($T$1,"'","''") &amp; "'!C261"), "")</f>
        <v>44</v>
      </c>
      <c r="V75">
        <f ca="1">IFERROR(INDIRECT("'" &amp; SUBSTITUTE($V$1,"'","''") &amp; "'!B261"), "")</f>
        <v>0</v>
      </c>
      <c r="W75">
        <f ca="1">IFERROR(INDIRECT("'" &amp; SUBSTITUTE($V$1,"'","''") &amp; "'!C261"), "")</f>
        <v>44</v>
      </c>
      <c r="X75">
        <f ca="1">IFERROR(INDIRECT("'" &amp; SUBSTITUTE($X$1,"'","''") &amp; "'!B261"), "")</f>
        <v>0.05</v>
      </c>
      <c r="Y75">
        <f ca="1">IFERROR(INDIRECT("'" &amp; SUBSTITUTE($X$1,"'","''") &amp; "'!C261"), "")</f>
        <v>97</v>
      </c>
    </row>
    <row r="76" spans="1:25" x14ac:dyDescent="0.2">
      <c r="A76" t="s">
        <v>74</v>
      </c>
      <c r="B76">
        <f ca="1">IFERROR(INDIRECT("'" &amp; SUBSTITUTE($B$1,"'","''") &amp; "'!B266"), "")</f>
        <v>2.0499999999999998</v>
      </c>
      <c r="C76">
        <f ca="1">IFERROR(INDIRECT("'" &amp; SUBSTITUTE($B$1,"'","''") &amp; "'!C266"), "")</f>
        <v>54</v>
      </c>
      <c r="D76">
        <f ca="1">IFERROR(INDIRECT("'" &amp; SUBSTITUTE($D$1,"'","''") &amp; "'!B266"), "")</f>
        <v>3.27</v>
      </c>
      <c r="E76">
        <f ca="1">IFERROR(INDIRECT("'" &amp; SUBSTITUTE($D$1,"'","''") &amp; "'!C266"), "")</f>
        <v>95</v>
      </c>
      <c r="F76">
        <f ca="1">IFERROR(INDIRECT("'" &amp; SUBSTITUTE($F$1,"'","''") &amp; "'!B266"), "")</f>
        <v>2.25</v>
      </c>
      <c r="G76">
        <f ca="1">IFERROR(INDIRECT("'" &amp; SUBSTITUTE($F$1,"'","''") &amp; "'!C266"), "")</f>
        <v>62</v>
      </c>
      <c r="H76">
        <f ca="1">IFERROR(INDIRECT("'" &amp; SUBSTITUTE($H$1,"'","''") &amp; "'!B266"), "")</f>
        <v>3.17</v>
      </c>
      <c r="I76">
        <f ca="1">IFERROR(INDIRECT("'" &amp; SUBSTITUTE($H$1,"'","''") &amp; "'!C266"), "")</f>
        <v>94</v>
      </c>
      <c r="J76">
        <f ca="1">IFERROR(INDIRECT("'" &amp; SUBSTITUTE($J$1,"'","''") &amp; "'!B266"), "")</f>
        <v>0.94</v>
      </c>
      <c r="K76">
        <f ca="1">IFERROR(INDIRECT("'" &amp; SUBSTITUTE($J$1,"'","''") &amp; "'!C266"), "")</f>
        <v>9</v>
      </c>
      <c r="L76">
        <f ca="1">IFERROR(INDIRECT("'" &amp; SUBSTITUTE($L$1,"'","''") &amp; "'!B266"), "")</f>
        <v>1.91</v>
      </c>
      <c r="M76">
        <f ca="1">IFERROR(INDIRECT("'" &amp; SUBSTITUTE($L$1,"'","''") &amp; "'!C266"), "")</f>
        <v>40</v>
      </c>
      <c r="N76">
        <f ca="1">IFERROR(INDIRECT("'" &amp; SUBSTITUTE($N$1,"'","''") &amp; "'!B266"), "")</f>
        <v>2.73</v>
      </c>
      <c r="O76">
        <f ca="1">IFERROR(INDIRECT("'" &amp; SUBSTITUTE($N$1,"'","''") &amp; "'!C266"), "")</f>
        <v>78</v>
      </c>
      <c r="P76">
        <f ca="1">IFERROR(INDIRECT("'" &amp; SUBSTITUTE($P$1,"'","''") &amp; "'!B266"), "")</f>
        <v>2.44</v>
      </c>
      <c r="Q76">
        <f ca="1">IFERROR(INDIRECT("'" &amp; SUBSTITUTE($P$1,"'","''") &amp; "'!C266"), "")</f>
        <v>67</v>
      </c>
      <c r="R76">
        <f ca="1">IFERROR(INDIRECT("'" &amp; SUBSTITUTE($R$1,"'","''") &amp; "'!B266"), "")</f>
        <v>2.58</v>
      </c>
      <c r="S76">
        <f ca="1">IFERROR(INDIRECT("'" &amp; SUBSTITUTE($R$1,"'","''") &amp; "'!C266"), "")</f>
        <v>79</v>
      </c>
      <c r="T76">
        <f ca="1">IFERROR(INDIRECT("'" &amp; SUBSTITUTE($T$1,"'","''") &amp; "'!B266"), "")</f>
        <v>2.36</v>
      </c>
      <c r="U76">
        <f ca="1">IFERROR(INDIRECT("'" &amp; SUBSTITUTE($T$1,"'","''") &amp; "'!C266"), "")</f>
        <v>63</v>
      </c>
      <c r="V76">
        <f ca="1">IFERROR(INDIRECT("'" &amp; SUBSTITUTE($V$1,"'","''") &amp; "'!B266"), "")</f>
        <v>3.85</v>
      </c>
      <c r="W76">
        <f ca="1">IFERROR(INDIRECT("'" &amp; SUBSTITUTE($V$1,"'","''") &amp; "'!C266"), "")</f>
        <v>97</v>
      </c>
      <c r="X76">
        <f ca="1">IFERROR(INDIRECT("'" &amp; SUBSTITUTE($X$1,"'","''") &amp; "'!B266"), "")</f>
        <v>1.94</v>
      </c>
      <c r="Y76">
        <f ca="1">IFERROR(INDIRECT("'" &amp; SUBSTITUTE($X$1,"'","''") &amp; "'!C266"), "")</f>
        <v>44</v>
      </c>
    </row>
    <row r="77" spans="1:25" x14ac:dyDescent="0.2">
      <c r="A77" t="s">
        <v>75</v>
      </c>
      <c r="B77">
        <f ca="1">IFERROR(INDIRECT("'" &amp; SUBSTITUTE($B$1,"'","''") &amp; "'!B269"), "")</f>
        <v>0.97</v>
      </c>
      <c r="C77">
        <f ca="1">IFERROR(INDIRECT("'" &amp; SUBSTITUTE($B$1,"'","''") &amp; "'!C269"), "")</f>
        <v>31</v>
      </c>
      <c r="D77">
        <f ca="1">IFERROR(INDIRECT("'" &amp; SUBSTITUTE($D$1,"'","''") &amp; "'!B269"), "")</f>
        <v>2.06</v>
      </c>
      <c r="E77">
        <f ca="1">IFERROR(INDIRECT("'" &amp; SUBSTITUTE($D$1,"'","''") &amp; "'!C269"), "")</f>
        <v>97</v>
      </c>
      <c r="F77">
        <f ca="1">IFERROR(INDIRECT("'" &amp; SUBSTITUTE($F$1,"'","''") &amp; "'!B269"), "")</f>
        <v>1.36</v>
      </c>
      <c r="G77">
        <f ca="1">IFERROR(INDIRECT("'" &amp; SUBSTITUTE($F$1,"'","''") &amp; "'!C269"), "")</f>
        <v>66</v>
      </c>
      <c r="H77">
        <f ca="1">IFERROR(INDIRECT("'" &amp; SUBSTITUTE($H$1,"'","''") &amp; "'!B269"), "")</f>
        <v>1.86</v>
      </c>
      <c r="I77">
        <f ca="1">IFERROR(INDIRECT("'" &amp; SUBSTITUTE($H$1,"'","''") &amp; "'!C269"), "")</f>
        <v>93</v>
      </c>
      <c r="J77">
        <f ca="1">IFERROR(INDIRECT("'" &amp; SUBSTITUTE($J$1,"'","''") &amp; "'!B269"), "")</f>
        <v>0.56999999999999995</v>
      </c>
      <c r="K77">
        <f ca="1">IFERROR(INDIRECT("'" &amp; SUBSTITUTE($J$1,"'","''") &amp; "'!C269"), "")</f>
        <v>11</v>
      </c>
      <c r="L77">
        <f ca="1">IFERROR(INDIRECT("'" &amp; SUBSTITUTE($L$1,"'","''") &amp; "'!B269"), "")</f>
        <v>0.96</v>
      </c>
      <c r="M77">
        <f ca="1">IFERROR(INDIRECT("'" &amp; SUBSTITUTE($L$1,"'","''") &amp; "'!C269"), "")</f>
        <v>29</v>
      </c>
      <c r="N77">
        <f ca="1">IFERROR(INDIRECT("'" &amp; SUBSTITUTE($N$1,"'","''") &amp; "'!B269"), "")</f>
        <v>1.76</v>
      </c>
      <c r="O77">
        <f ca="1">IFERROR(INDIRECT("'" &amp; SUBSTITUTE($N$1,"'","''") &amp; "'!C269"), "")</f>
        <v>84</v>
      </c>
      <c r="P77">
        <f ca="1">IFERROR(INDIRECT("'" &amp; SUBSTITUTE($P$1,"'","''") &amp; "'!B269"), "")</f>
        <v>1.57</v>
      </c>
      <c r="Q77">
        <f ca="1">IFERROR(INDIRECT("'" &amp; SUBSTITUTE($P$1,"'","''") &amp; "'!C269"), "")</f>
        <v>80</v>
      </c>
      <c r="R77">
        <f ca="1">IFERROR(INDIRECT("'" &amp; SUBSTITUTE($R$1,"'","''") &amp; "'!B269"), "")</f>
        <v>1.52</v>
      </c>
      <c r="S77">
        <f ca="1">IFERROR(INDIRECT("'" &amp; SUBSTITUTE($R$1,"'","''") &amp; "'!C269"), "")</f>
        <v>75</v>
      </c>
      <c r="T77">
        <f ca="1">IFERROR(INDIRECT("'" &amp; SUBSTITUTE($T$1,"'","''") &amp; "'!B269"), "")</f>
        <v>1.28</v>
      </c>
      <c r="U77">
        <f ca="1">IFERROR(INDIRECT("'" &amp; SUBSTITUTE($T$1,"'","''") &amp; "'!C269"), "")</f>
        <v>58</v>
      </c>
      <c r="V77">
        <f ca="1">IFERROR(INDIRECT("'" &amp; SUBSTITUTE($V$1,"'","''") &amp; "'!B269"), "")</f>
        <v>2.5299999999999998</v>
      </c>
      <c r="W77">
        <f ca="1">IFERROR(INDIRECT("'" &amp; SUBSTITUTE($V$1,"'","''") &amp; "'!C269"), "")</f>
        <v>98</v>
      </c>
      <c r="X77">
        <f ca="1">IFERROR(INDIRECT("'" &amp; SUBSTITUTE($X$1,"'","''") &amp; "'!B269"), "")</f>
        <v>0.78</v>
      </c>
      <c r="Y77">
        <f ca="1">IFERROR(INDIRECT("'" &amp; SUBSTITUTE($X$1,"'","''") &amp; "'!C269"), "")</f>
        <v>27</v>
      </c>
    </row>
    <row r="78" spans="1:25" x14ac:dyDescent="0.2">
      <c r="A78" t="s">
        <v>76</v>
      </c>
      <c r="B78">
        <f ca="1">IFERROR(INDIRECT("'" &amp; SUBSTITUTE($B$1,"'","''") &amp; "'!B272"), "")</f>
        <v>0.94</v>
      </c>
      <c r="C78">
        <f ca="1">IFERROR(INDIRECT("'" &amp; SUBSTITUTE($B$1,"'","''") &amp; "'!C272"), "")</f>
        <v>67</v>
      </c>
      <c r="D78">
        <f ca="1">IFERROR(INDIRECT("'" &amp; SUBSTITUTE($D$1,"'","''") &amp; "'!B272"), "")</f>
        <v>1.39</v>
      </c>
      <c r="E78">
        <f ca="1">IFERROR(INDIRECT("'" &amp; SUBSTITUTE($D$1,"'","''") &amp; "'!C272"), "")</f>
        <v>94</v>
      </c>
      <c r="F78">
        <f ca="1">IFERROR(INDIRECT("'" &amp; SUBSTITUTE($F$1,"'","''") &amp; "'!B272"), "")</f>
        <v>1.04</v>
      </c>
      <c r="G78">
        <f ca="1">IFERROR(INDIRECT("'" &amp; SUBSTITUTE($F$1,"'","''") &amp; "'!C272"), "")</f>
        <v>76</v>
      </c>
      <c r="H78">
        <f ca="1">IFERROR(INDIRECT("'" &amp; SUBSTITUTE($H$1,"'","''") &amp; "'!B272"), "")</f>
        <v>1.44</v>
      </c>
      <c r="I78">
        <f ca="1">IFERROR(INDIRECT("'" &amp; SUBSTITUTE($H$1,"'","''") &amp; "'!C272"), "")</f>
        <v>95</v>
      </c>
      <c r="J78">
        <f ca="1">IFERROR(INDIRECT("'" &amp; SUBSTITUTE($J$1,"'","''") &amp; "'!B272"), "")</f>
        <v>0.6</v>
      </c>
      <c r="K78">
        <f ca="1">IFERROR(INDIRECT("'" &amp; SUBSTITUTE($J$1,"'","''") &amp; "'!C272"), "")</f>
        <v>15</v>
      </c>
      <c r="L78">
        <f ca="1">IFERROR(INDIRECT("'" &amp; SUBSTITUTE($L$1,"'","''") &amp; "'!B272"), "")</f>
        <v>0.81</v>
      </c>
      <c r="M78">
        <f ca="1">IFERROR(INDIRECT("'" &amp; SUBSTITUTE($L$1,"'","''") &amp; "'!C272"), "")</f>
        <v>47</v>
      </c>
      <c r="N78">
        <f ca="1">IFERROR(INDIRECT("'" &amp; SUBSTITUTE($N$1,"'","''") &amp; "'!B272"), "")</f>
        <v>1.39</v>
      </c>
      <c r="O78">
        <f ca="1">IFERROR(INDIRECT("'" &amp; SUBSTITUTE($N$1,"'","''") &amp; "'!C272"), "")</f>
        <v>82</v>
      </c>
      <c r="P78">
        <f ca="1">IFERROR(INDIRECT("'" &amp; SUBSTITUTE($P$1,"'","''") &amp; "'!B272"), "")</f>
        <v>1.31</v>
      </c>
      <c r="Q78">
        <f ca="1">IFERROR(INDIRECT("'" &amp; SUBSTITUTE($P$1,"'","''") &amp; "'!C272"), "")</f>
        <v>86</v>
      </c>
      <c r="R78">
        <f ca="1">IFERROR(INDIRECT("'" &amp; SUBSTITUTE($R$1,"'","''") &amp; "'!B272"), "")</f>
        <v>1.21</v>
      </c>
      <c r="S78">
        <f ca="1">IFERROR(INDIRECT("'" &amp; SUBSTITUTE($R$1,"'","''") &amp; "'!C272"), "")</f>
        <v>79</v>
      </c>
      <c r="T78">
        <f ca="1">IFERROR(INDIRECT("'" &amp; SUBSTITUTE($T$1,"'","''") &amp; "'!B272"), "")</f>
        <v>0.92</v>
      </c>
      <c r="U78">
        <f ca="1">IFERROR(INDIRECT("'" &amp; SUBSTITUTE($T$1,"'","''") &amp; "'!C272"), "")</f>
        <v>55</v>
      </c>
      <c r="V78">
        <f ca="1">IFERROR(INDIRECT("'" &amp; SUBSTITUTE($V$1,"'","''") &amp; "'!B272"), "")</f>
        <v>1.76</v>
      </c>
      <c r="W78">
        <f ca="1">IFERROR(INDIRECT("'" &amp; SUBSTITUTE($V$1,"'","''") &amp; "'!C272"), "")</f>
        <v>91</v>
      </c>
      <c r="X78">
        <f ca="1">IFERROR(INDIRECT("'" &amp; SUBSTITUTE($X$1,"'","''") &amp; "'!B272"), "")</f>
        <v>1.1499999999999999</v>
      </c>
      <c r="Y78">
        <f ca="1">IFERROR(INDIRECT("'" &amp; SUBSTITUTE($X$1,"'","''") &amp; "'!C272"), "")</f>
        <v>77</v>
      </c>
    </row>
    <row r="79" spans="1:25" x14ac:dyDescent="0.2">
      <c r="A79" t="s">
        <v>77</v>
      </c>
      <c r="B79">
        <f ca="1">IFERROR(INDIRECT("'" &amp; SUBSTITUTE($B$1,"'","''") &amp; "'!B275"), "")</f>
        <v>0.75</v>
      </c>
      <c r="C79">
        <f ca="1">IFERROR(INDIRECT("'" &amp; SUBSTITUTE($B$1,"'","''") &amp; "'!C275"), "")</f>
        <v>29</v>
      </c>
      <c r="D79">
        <f ca="1">IFERROR(INDIRECT("'" &amp; SUBSTITUTE($D$1,"'","''") &amp; "'!B275"), "")</f>
        <v>1.67</v>
      </c>
      <c r="E79">
        <f ca="1">IFERROR(INDIRECT("'" &amp; SUBSTITUTE($D$1,"'","''") &amp; "'!C275"), "")</f>
        <v>97</v>
      </c>
      <c r="F79">
        <f ca="1">IFERROR(INDIRECT("'" &amp; SUBSTITUTE($F$1,"'","''") &amp; "'!B275"), "")</f>
        <v>1.1000000000000001</v>
      </c>
      <c r="G79">
        <f ca="1">IFERROR(INDIRECT("'" &amp; SUBSTITUTE($F$1,"'","''") &amp; "'!C275"), "")</f>
        <v>70</v>
      </c>
      <c r="H79">
        <f ca="1">IFERROR(INDIRECT("'" &amp; SUBSTITUTE($H$1,"'","''") &amp; "'!B275"), "")</f>
        <v>1.38</v>
      </c>
      <c r="I79">
        <f ca="1">IFERROR(INDIRECT("'" &amp; SUBSTITUTE($H$1,"'","''") &amp; "'!C275"), "")</f>
        <v>87</v>
      </c>
      <c r="J79">
        <f ca="1">IFERROR(INDIRECT("'" &amp; SUBSTITUTE($J$1,"'","''") &amp; "'!B275"), "")</f>
        <v>0.17</v>
      </c>
      <c r="K79">
        <f ca="1">IFERROR(INDIRECT("'" &amp; SUBSTITUTE($J$1,"'","''") &amp; "'!C275"), "")</f>
        <v>2</v>
      </c>
      <c r="L79">
        <f ca="1">IFERROR(INDIRECT("'" &amp; SUBSTITUTE($L$1,"'","''") &amp; "'!B275"), "")</f>
        <v>0.74</v>
      </c>
      <c r="M79">
        <f ca="1">IFERROR(INDIRECT("'" &amp; SUBSTITUTE($L$1,"'","''") &amp; "'!C275"), "")</f>
        <v>32</v>
      </c>
      <c r="N79">
        <f ca="1">IFERROR(INDIRECT("'" &amp; SUBSTITUTE($N$1,"'","''") &amp; "'!B275"), "")</f>
        <v>1</v>
      </c>
      <c r="O79">
        <f ca="1">IFERROR(INDIRECT("'" &amp; SUBSTITUTE($N$1,"'","''") &amp; "'!C275"), "")</f>
        <v>65</v>
      </c>
      <c r="P79">
        <f ca="1">IFERROR(INDIRECT("'" &amp; SUBSTITUTE($P$1,"'","''") &amp; "'!B275"), "")</f>
        <v>0.8</v>
      </c>
      <c r="Q79">
        <f ca="1">IFERROR(INDIRECT("'" &amp; SUBSTITUTE($P$1,"'","''") &amp; "'!C275"), "")</f>
        <v>37</v>
      </c>
      <c r="R79">
        <f ca="1">IFERROR(INDIRECT("'" &amp; SUBSTITUTE($R$1,"'","''") &amp; "'!B275"), "")</f>
        <v>1.06</v>
      </c>
      <c r="S79">
        <f ca="1">IFERROR(INDIRECT("'" &amp; SUBSTITUTE($R$1,"'","''") &amp; "'!C275"), "")</f>
        <v>64</v>
      </c>
      <c r="T79">
        <f ca="1">IFERROR(INDIRECT("'" &amp; SUBSTITUTE($T$1,"'","''") &amp; "'!B275"), "")</f>
        <v>0.98</v>
      </c>
      <c r="U79">
        <f ca="1">IFERROR(INDIRECT("'" &amp; SUBSTITUTE($T$1,"'","''") &amp; "'!C275"), "")</f>
        <v>57</v>
      </c>
      <c r="V79">
        <f ca="1">IFERROR(INDIRECT("'" &amp; SUBSTITUTE($V$1,"'","''") &amp; "'!B275"), "")</f>
        <v>1.87</v>
      </c>
      <c r="W79">
        <f ca="1">IFERROR(INDIRECT("'" &amp; SUBSTITUTE($V$1,"'","''") &amp; "'!C275"), "")</f>
        <v>99</v>
      </c>
      <c r="X79">
        <f ca="1">IFERROR(INDIRECT("'" &amp; SUBSTITUTE($X$1,"'","''") &amp; "'!B275"), "")</f>
        <v>0.65</v>
      </c>
      <c r="Y79">
        <f ca="1">IFERROR(INDIRECT("'" &amp; SUBSTITUTE($X$1,"'","''") &amp; "'!C275"), "")</f>
        <v>29</v>
      </c>
    </row>
    <row r="80" spans="1:25" x14ac:dyDescent="0.2">
      <c r="A80" t="s">
        <v>78</v>
      </c>
      <c r="B80">
        <f ca="1">IFERROR(INDIRECT("'" &amp; SUBSTITUTE($B$1,"'","''") &amp; "'!B278"), "")</f>
        <v>0.36</v>
      </c>
      <c r="C80">
        <f ca="1">IFERROR(INDIRECT("'" &amp; SUBSTITUTE($B$1,"'","''") &amp; "'!C278"), "")</f>
        <v>76</v>
      </c>
      <c r="D80">
        <f ca="1">IFERROR(INDIRECT("'" &amp; SUBSTITUTE($D$1,"'","''") &amp; "'!B278"), "")</f>
        <v>0.21</v>
      </c>
      <c r="E80">
        <f ca="1">IFERROR(INDIRECT("'" &amp; SUBSTITUTE($D$1,"'","''") &amp; "'!C278"), "")</f>
        <v>33</v>
      </c>
      <c r="F80">
        <f ca="1">IFERROR(INDIRECT("'" &amp; SUBSTITUTE($F$1,"'","''") &amp; "'!B278"), "")</f>
        <v>0.1</v>
      </c>
      <c r="G80">
        <f ca="1">IFERROR(INDIRECT("'" &amp; SUBSTITUTE($F$1,"'","''") &amp; "'!C278"), "")</f>
        <v>9</v>
      </c>
      <c r="H80">
        <f ca="1">IFERROR(INDIRECT("'" &amp; SUBSTITUTE($H$1,"'","''") &amp; "'!B278"), "")</f>
        <v>0.35</v>
      </c>
      <c r="I80">
        <f ca="1">IFERROR(INDIRECT("'" &amp; SUBSTITUTE($H$1,"'","''") &amp; "'!C278"), "")</f>
        <v>75</v>
      </c>
      <c r="J80">
        <f ca="1">IFERROR(INDIRECT("'" &amp; SUBSTITUTE($J$1,"'","''") &amp; "'!B278"), "")</f>
        <v>0.17</v>
      </c>
      <c r="K80">
        <f ca="1">IFERROR(INDIRECT("'" &amp; SUBSTITUTE($J$1,"'","''") &amp; "'!C278"), "")</f>
        <v>84</v>
      </c>
      <c r="L80">
        <f ca="1">IFERROR(INDIRECT("'" &amp; SUBSTITUTE($L$1,"'","''") &amp; "'!B278"), "")</f>
        <v>0.37</v>
      </c>
      <c r="M80">
        <f ca="1">IFERROR(INDIRECT("'" &amp; SUBSTITUTE($L$1,"'","''") &amp; "'!C278"), "")</f>
        <v>68</v>
      </c>
      <c r="N80">
        <f ca="1">IFERROR(INDIRECT("'" &amp; SUBSTITUTE($N$1,"'","''") &amp; "'!B278"), "")</f>
        <v>0.33</v>
      </c>
      <c r="O80">
        <f ca="1">IFERROR(INDIRECT("'" &amp; SUBSTITUTE($N$1,"'","''") &amp; "'!C278"), "")</f>
        <v>61</v>
      </c>
      <c r="P80">
        <f ca="1">IFERROR(INDIRECT("'" &amp; SUBSTITUTE($P$1,"'","''") &amp; "'!B278"), "")</f>
        <v>0.33</v>
      </c>
      <c r="Q80">
        <f ca="1">IFERROR(INDIRECT("'" &amp; SUBSTITUTE($P$1,"'","''") &amp; "'!C278"), "")</f>
        <v>62</v>
      </c>
      <c r="R80">
        <f ca="1">IFERROR(INDIRECT("'" &amp; SUBSTITUTE($R$1,"'","''") &amp; "'!B278"), "")</f>
        <v>0.3</v>
      </c>
      <c r="S80">
        <f ca="1">IFERROR(INDIRECT("'" &amp; SUBSTITUTE($R$1,"'","''") &amp; "'!C278"), "")</f>
        <v>58</v>
      </c>
      <c r="T80">
        <f ca="1">IFERROR(INDIRECT("'" &amp; SUBSTITUTE($T$1,"'","''") &amp; "'!B278"), "")</f>
        <v>0.45</v>
      </c>
      <c r="U80">
        <f ca="1">IFERROR(INDIRECT("'" &amp; SUBSTITUTE($T$1,"'","''") &amp; "'!C278"), "")</f>
        <v>82</v>
      </c>
      <c r="V80">
        <f ca="1">IFERROR(INDIRECT("'" &amp; SUBSTITUTE($V$1,"'","''") &amp; "'!B278"), "")</f>
        <v>0.22</v>
      </c>
      <c r="W80">
        <f ca="1">IFERROR(INDIRECT("'" &amp; SUBSTITUTE($V$1,"'","''") &amp; "'!C278"), "")</f>
        <v>30</v>
      </c>
      <c r="X80">
        <f ca="1">IFERROR(INDIRECT("'" &amp; SUBSTITUTE($X$1,"'","''") &amp; "'!B278"), "")</f>
        <v>0.14000000000000001</v>
      </c>
      <c r="Y80">
        <f ca="1">IFERROR(INDIRECT("'" &amp; SUBSTITUTE($X$1,"'","''") &amp; "'!C278"), "")</f>
        <v>29</v>
      </c>
    </row>
    <row r="81" spans="1:25" x14ac:dyDescent="0.2">
      <c r="A81" t="s">
        <v>79</v>
      </c>
      <c r="B81">
        <f ca="1">IFERROR(INDIRECT("'" &amp; SUBSTITUTE($B$1,"'","''") &amp; "'!B282"), "")</f>
        <v>1.1399999999999999</v>
      </c>
      <c r="C81">
        <f ca="1">IFERROR(INDIRECT("'" &amp; SUBSTITUTE($B$1,"'","''") &amp; "'!C282"), "")</f>
        <v>74</v>
      </c>
      <c r="D81">
        <f ca="1">IFERROR(INDIRECT("'" &amp; SUBSTITUTE($D$1,"'","''") &amp; "'!B282"), "")</f>
        <v>1.79</v>
      </c>
      <c r="E81">
        <f ca="1">IFERROR(INDIRECT("'" &amp; SUBSTITUTE($D$1,"'","''") &amp; "'!C282"), "")</f>
        <v>98</v>
      </c>
      <c r="F81">
        <f ca="1">IFERROR(INDIRECT("'" &amp; SUBSTITUTE($F$1,"'","''") &amp; "'!B282"), "")</f>
        <v>0.68</v>
      </c>
      <c r="G81">
        <f ca="1">IFERROR(INDIRECT("'" &amp; SUBSTITUTE($F$1,"'","''") &amp; "'!C282"), "")</f>
        <v>20</v>
      </c>
      <c r="H81">
        <f ca="1">IFERROR(INDIRECT("'" &amp; SUBSTITUTE($H$1,"'","''") &amp; "'!B282"), "")</f>
        <v>1.28</v>
      </c>
      <c r="I81">
        <f ca="1">IFERROR(INDIRECT("'" &amp; SUBSTITUTE($H$1,"'","''") &amp; "'!C282"), "")</f>
        <v>83</v>
      </c>
      <c r="J81">
        <f ca="1">IFERROR(INDIRECT("'" &amp; SUBSTITUTE($J$1,"'","''") &amp; "'!B282"), "")</f>
        <v>0.51</v>
      </c>
      <c r="K81">
        <f ca="1">IFERROR(INDIRECT("'" &amp; SUBSTITUTE($J$1,"'","''") &amp; "'!C282"), "")</f>
        <v>17</v>
      </c>
      <c r="L81">
        <f ca="1">IFERROR(INDIRECT("'" &amp; SUBSTITUTE($L$1,"'","''") &amp; "'!B282"), "")</f>
        <v>1.03</v>
      </c>
      <c r="M81">
        <f ca="1">IFERROR(INDIRECT("'" &amp; SUBSTITUTE($L$1,"'","''") &amp; "'!C282"), "")</f>
        <v>59</v>
      </c>
      <c r="N81">
        <f ca="1">IFERROR(INDIRECT("'" &amp; SUBSTITUTE($N$1,"'","''") &amp; "'!B282"), "")</f>
        <v>0.76</v>
      </c>
      <c r="O81">
        <f ca="1">IFERROR(INDIRECT("'" &amp; SUBSTITUTE($N$1,"'","''") &amp; "'!C282"), "")</f>
        <v>34</v>
      </c>
      <c r="P81">
        <f ca="1">IFERROR(INDIRECT("'" &amp; SUBSTITUTE($P$1,"'","''") &amp; "'!B282"), "")</f>
        <v>1.02</v>
      </c>
      <c r="Q81">
        <f ca="1">IFERROR(INDIRECT("'" &amp; SUBSTITUTE($P$1,"'","''") &amp; "'!C282"), "")</f>
        <v>74</v>
      </c>
      <c r="R81">
        <f ca="1">IFERROR(INDIRECT("'" &amp; SUBSTITUTE($R$1,"'","''") &amp; "'!B282"), "")</f>
        <v>0.96</v>
      </c>
      <c r="S81">
        <f ca="1">IFERROR(INDIRECT("'" &amp; SUBSTITUTE($R$1,"'","''") &amp; "'!C282"), "")</f>
        <v>67</v>
      </c>
      <c r="T81">
        <f ca="1">IFERROR(INDIRECT("'" &amp; SUBSTITUTE($T$1,"'","''") &amp; "'!B282"), "")</f>
        <v>0.95</v>
      </c>
      <c r="U81">
        <f ca="1">IFERROR(INDIRECT("'" &amp; SUBSTITUTE($T$1,"'","''") &amp; "'!C282"), "")</f>
        <v>65</v>
      </c>
      <c r="V81">
        <f ca="1">IFERROR(INDIRECT("'" &amp; SUBSTITUTE($V$1,"'","''") &amp; "'!B282"), "")</f>
        <v>0.99</v>
      </c>
      <c r="W81">
        <f ca="1">IFERROR(INDIRECT("'" &amp; SUBSTITUTE($V$1,"'","''") &amp; "'!C282"), "")</f>
        <v>57</v>
      </c>
      <c r="X81">
        <f ca="1">IFERROR(INDIRECT("'" &amp; SUBSTITUTE($X$1,"'","''") &amp; "'!B282"), "")</f>
        <v>1.02</v>
      </c>
      <c r="Y81">
        <f ca="1">IFERROR(INDIRECT("'" &amp; SUBSTITUTE($X$1,"'","''") &amp; "'!C282"), "")</f>
        <v>67</v>
      </c>
    </row>
    <row r="82" spans="1:25" x14ac:dyDescent="0.2">
      <c r="A82" t="s">
        <v>80</v>
      </c>
      <c r="B82">
        <f ca="1">IFERROR(INDIRECT("'" &amp; SUBSTITUTE($B$1,"'","''") &amp; "'!B285"), "")</f>
        <v>1.98</v>
      </c>
      <c r="C82">
        <f ca="1">IFERROR(INDIRECT("'" &amp; SUBSTITUTE($B$1,"'","''") &amp; "'!C285"), "")</f>
        <v>61</v>
      </c>
      <c r="D82">
        <f ca="1">IFERROR(INDIRECT("'" &amp; SUBSTITUTE($D$1,"'","''") &amp; "'!B285"), "")</f>
        <v>3.63</v>
      </c>
      <c r="E82">
        <f ca="1">IFERROR(INDIRECT("'" &amp; SUBSTITUTE($D$1,"'","''") &amp; "'!C285"), "")</f>
        <v>99</v>
      </c>
      <c r="F82">
        <f ca="1">IFERROR(INDIRECT("'" &amp; SUBSTITUTE($F$1,"'","''") &amp; "'!B285"), "")</f>
        <v>0.94</v>
      </c>
      <c r="G82">
        <f ca="1">IFERROR(INDIRECT("'" &amp; SUBSTITUTE($F$1,"'","''") &amp; "'!C285"), "")</f>
        <v>5</v>
      </c>
      <c r="H82">
        <f ca="1">IFERROR(INDIRECT("'" &amp; SUBSTITUTE($H$1,"'","''") &amp; "'!B285"), "")</f>
        <v>2.56</v>
      </c>
      <c r="I82">
        <f ca="1">IFERROR(INDIRECT("'" &amp; SUBSTITUTE($H$1,"'","''") &amp; "'!C285"), "")</f>
        <v>86</v>
      </c>
      <c r="J82">
        <f ca="1">IFERROR(INDIRECT("'" &amp; SUBSTITUTE($J$1,"'","''") &amp; "'!B285"), "")</f>
        <v>0.94</v>
      </c>
      <c r="K82">
        <f ca="1">IFERROR(INDIRECT("'" &amp; SUBSTITUTE($J$1,"'","''") &amp; "'!C285"), "")</f>
        <v>29</v>
      </c>
      <c r="L82">
        <f ca="1">IFERROR(INDIRECT("'" &amp; SUBSTITUTE($L$1,"'","''") &amp; "'!B285"), "")</f>
        <v>1.69</v>
      </c>
      <c r="M82">
        <f ca="1">IFERROR(INDIRECT("'" &amp; SUBSTITUTE($L$1,"'","''") &amp; "'!C285"), "")</f>
        <v>36</v>
      </c>
      <c r="N82">
        <f ca="1">IFERROR(INDIRECT("'" &amp; SUBSTITUTE($N$1,"'","''") &amp; "'!B285"), "")</f>
        <v>1.43</v>
      </c>
      <c r="O82">
        <f ca="1">IFERROR(INDIRECT("'" &amp; SUBSTITUTE($N$1,"'","''") &amp; "'!C285"), "")</f>
        <v>16</v>
      </c>
      <c r="P82">
        <f ca="1">IFERROR(INDIRECT("'" &amp; SUBSTITUTE($P$1,"'","''") &amp; "'!B285"), "")</f>
        <v>2.23</v>
      </c>
      <c r="Q82">
        <f ca="1">IFERROR(INDIRECT("'" &amp; SUBSTITUTE($P$1,"'","''") &amp; "'!C285"), "")</f>
        <v>68</v>
      </c>
      <c r="R82">
        <f ca="1">IFERROR(INDIRECT("'" &amp; SUBSTITUTE($R$1,"'","''") &amp; "'!B285"), "")</f>
        <v>2.33</v>
      </c>
      <c r="S82">
        <f ca="1">IFERROR(INDIRECT("'" &amp; SUBSTITUTE($R$1,"'","''") &amp; "'!C285"), "")</f>
        <v>73</v>
      </c>
      <c r="T82">
        <f ca="1">IFERROR(INDIRECT("'" &amp; SUBSTITUTE($T$1,"'","''") &amp; "'!B285"), "")</f>
        <v>2.27</v>
      </c>
      <c r="U82">
        <f ca="1">IFERROR(INDIRECT("'" &amp; SUBSTITUTE($T$1,"'","''") &amp; "'!C285"), "")</f>
        <v>69</v>
      </c>
      <c r="V82">
        <f ca="1">IFERROR(INDIRECT("'" &amp; SUBSTITUTE($V$1,"'","''") &amp; "'!B285"), "")</f>
        <v>2.31</v>
      </c>
      <c r="W82">
        <f ca="1">IFERROR(INDIRECT("'" &amp; SUBSTITUTE($V$1,"'","''") &amp; "'!C285"), "")</f>
        <v>68</v>
      </c>
      <c r="X82">
        <f ca="1">IFERROR(INDIRECT("'" &amp; SUBSTITUTE($X$1,"'","''") &amp; "'!B285"), "")</f>
        <v>2.31</v>
      </c>
      <c r="Y82">
        <f ca="1">IFERROR(INDIRECT("'" &amp; SUBSTITUTE($X$1,"'","''") &amp; "'!C285"), "")</f>
        <v>61</v>
      </c>
    </row>
    <row r="83" spans="1:25" x14ac:dyDescent="0.2">
      <c r="A83" t="s">
        <v>81</v>
      </c>
      <c r="B83">
        <f ca="1">IFERROR(INDIRECT("'" &amp; SUBSTITUTE($B$1,"'","''") &amp; "'!B288"), "")</f>
        <v>0.57399999999999995</v>
      </c>
      <c r="C83">
        <f ca="1">IFERROR(INDIRECT("'" &amp; SUBSTITUTE($B$1,"'","''") &amp; "'!C288"), "")</f>
        <v>77</v>
      </c>
      <c r="D83">
        <f ca="1">IFERROR(INDIRECT("'" &amp; SUBSTITUTE($D$1,"'","''") &amp; "'!B288"), "")</f>
        <v>0.49199999999999999</v>
      </c>
      <c r="E83">
        <f ca="1">IFERROR(INDIRECT("'" &amp; SUBSTITUTE($D$1,"'","''") &amp; "'!C288"), "")</f>
        <v>45</v>
      </c>
      <c r="F83">
        <f ca="1">IFERROR(INDIRECT("'" &amp; SUBSTITUTE($F$1,"'","''") &amp; "'!B288"), "")</f>
        <v>0.72199999999999998</v>
      </c>
      <c r="G83">
        <f ca="1">IFERROR(INDIRECT("'" &amp; SUBSTITUTE($F$1,"'","''") &amp; "'!C288"), "")</f>
        <v>97</v>
      </c>
      <c r="H83">
        <f ca="1">IFERROR(INDIRECT("'" &amp; SUBSTITUTE($H$1,"'","''") &amp; "'!B288"), "")</f>
        <v>0.5</v>
      </c>
      <c r="I83">
        <f ca="1">IFERROR(INDIRECT("'" &amp; SUBSTITUTE($H$1,"'","''") &amp; "'!C288"), "")</f>
        <v>49</v>
      </c>
      <c r="J83">
        <f ca="1">IFERROR(INDIRECT("'" &amp; SUBSTITUTE($J$1,"'","''") &amp; "'!B288"), "")</f>
        <v>0.54500000000000004</v>
      </c>
      <c r="K83">
        <f ca="1">IFERROR(INDIRECT("'" &amp; SUBSTITUTE($J$1,"'","''") &amp; "'!C288"), "")</f>
        <v>13</v>
      </c>
      <c r="L83">
        <f ca="1">IFERROR(INDIRECT("'" &amp; SUBSTITUTE($L$1,"'","''") &amp; "'!B288"), "")</f>
        <v>0.60899999999999999</v>
      </c>
      <c r="M83">
        <f ca="1">IFERROR(INDIRECT("'" &amp; SUBSTITUTE($L$1,"'","''") &amp; "'!C288"), "")</f>
        <v>91</v>
      </c>
      <c r="N83">
        <f ca="1">IFERROR(INDIRECT("'" &amp; SUBSTITUTE($N$1,"'","''") &amp; "'!B288"), "")</f>
        <v>0.53200000000000003</v>
      </c>
      <c r="O83">
        <f ca="1">IFERROR(INDIRECT("'" &amp; SUBSTITUTE($N$1,"'","''") &amp; "'!C288"), "")</f>
        <v>76</v>
      </c>
      <c r="P83">
        <f ca="1">IFERROR(INDIRECT("'" &amp; SUBSTITUTE($P$1,"'","''") &amp; "'!B288"), "")</f>
        <v>0.45900000000000002</v>
      </c>
      <c r="Q83">
        <f ca="1">IFERROR(INDIRECT("'" &amp; SUBSTITUTE($P$1,"'","''") &amp; "'!C288"), "")</f>
        <v>58</v>
      </c>
      <c r="R83">
        <f ca="1">IFERROR(INDIRECT("'" &amp; SUBSTITUTE($R$1,"'","''") &amp; "'!B288"), "")</f>
        <v>0.41299999999999998</v>
      </c>
      <c r="S83">
        <f ca="1">IFERROR(INDIRECT("'" &amp; SUBSTITUTE($R$1,"'","''") &amp; "'!C288"), "")</f>
        <v>43</v>
      </c>
      <c r="T83">
        <f ca="1">IFERROR(INDIRECT("'" &amp; SUBSTITUTE($T$1,"'","''") &amp; "'!B288"), "")</f>
        <v>0.42099999999999999</v>
      </c>
      <c r="U83">
        <f ca="1">IFERROR(INDIRECT("'" &amp; SUBSTITUTE($T$1,"'","''") &amp; "'!C288"), "")</f>
        <v>50</v>
      </c>
      <c r="V83">
        <f ca="1">IFERROR(INDIRECT("'" &amp; SUBSTITUTE($V$1,"'","''") &amp; "'!B288"), "")</f>
        <v>0.42899999999999999</v>
      </c>
      <c r="W83">
        <f ca="1">IFERROR(INDIRECT("'" &amp; SUBSTITUTE($V$1,"'","''") &amp; "'!C288"), "")</f>
        <v>43</v>
      </c>
      <c r="X83">
        <f ca="1">IFERROR(INDIRECT("'" &amp; SUBSTITUTE($X$1,"'","''") &amp; "'!B288"), "")</f>
        <v>0.44</v>
      </c>
      <c r="Y83">
        <f ca="1">IFERROR(INDIRECT("'" &amp; SUBSTITUTE($X$1,"'","''") &amp; "'!C288"), "")</f>
        <v>67</v>
      </c>
    </row>
    <row r="84" spans="1:25" x14ac:dyDescent="0.2">
      <c r="A84" t="s">
        <v>82</v>
      </c>
      <c r="B84">
        <f ca="1">IFERROR(INDIRECT("'" &amp; SUBSTITUTE($B$1,"'","''") &amp; "'!B291"), "")</f>
        <v>0.84</v>
      </c>
      <c r="C84">
        <f ca="1">IFERROR(INDIRECT("'" &amp; SUBSTITUTE($B$1,"'","''") &amp; "'!C291"), "")</f>
        <v>53</v>
      </c>
      <c r="D84">
        <f ca="1">IFERROR(INDIRECT("'" &amp; SUBSTITUTE($D$1,"'","''") &amp; "'!B291"), "")</f>
        <v>1.85</v>
      </c>
      <c r="E84">
        <f ca="1">IFERROR(INDIRECT("'" &amp; SUBSTITUTE($D$1,"'","''") &amp; "'!C291"), "")</f>
        <v>2</v>
      </c>
      <c r="F84">
        <f ca="1">IFERROR(INDIRECT("'" &amp; SUBSTITUTE($F$1,"'","''") &amp; "'!B291"), "")</f>
        <v>0.26</v>
      </c>
      <c r="G84">
        <f ca="1">IFERROR(INDIRECT("'" &amp; SUBSTITUTE($F$1,"'","''") &amp; "'!C291"), "")</f>
        <v>99</v>
      </c>
      <c r="H84">
        <f ca="1">IFERROR(INDIRECT("'" &amp; SUBSTITUTE($H$1,"'","''") &amp; "'!B291"), "")</f>
        <v>1.28</v>
      </c>
      <c r="I84">
        <f ca="1">IFERROR(INDIRECT("'" &amp; SUBSTITUTE($H$1,"'","''") &amp; "'!C291"), "")</f>
        <v>18</v>
      </c>
      <c r="J84">
        <f ca="1">IFERROR(INDIRECT("'" &amp; SUBSTITUTE($J$1,"'","''") &amp; "'!B291"), "")</f>
        <v>0.43</v>
      </c>
      <c r="K84">
        <f ca="1">IFERROR(INDIRECT("'" &amp; SUBSTITUTE($J$1,"'","''") &amp; "'!C291"), "")</f>
        <v>45</v>
      </c>
      <c r="L84">
        <f ca="1">IFERROR(INDIRECT("'" &amp; SUBSTITUTE($L$1,"'","''") &amp; "'!B291"), "")</f>
        <v>0.66</v>
      </c>
      <c r="M84">
        <f ca="1">IFERROR(INDIRECT("'" &amp; SUBSTITUTE($L$1,"'","''") &amp; "'!C291"), "")</f>
        <v>86</v>
      </c>
      <c r="N84">
        <f ca="1">IFERROR(INDIRECT("'" &amp; SUBSTITUTE($N$1,"'","''") &amp; "'!B291"), "")</f>
        <v>0.67</v>
      </c>
      <c r="O84">
        <f ca="1">IFERROR(INDIRECT("'" &amp; SUBSTITUTE($N$1,"'","''") &amp; "'!C291"), "")</f>
        <v>85</v>
      </c>
      <c r="P84">
        <f ca="1">IFERROR(INDIRECT("'" &amp; SUBSTITUTE($P$1,"'","''") &amp; "'!B291"), "")</f>
        <v>1.2</v>
      </c>
      <c r="Q84">
        <f ca="1">IFERROR(INDIRECT("'" &amp; SUBSTITUTE($P$1,"'","''") &amp; "'!C291"), "")</f>
        <v>37</v>
      </c>
      <c r="R84">
        <f ca="1">IFERROR(INDIRECT("'" &amp; SUBSTITUTE($R$1,"'","''") &amp; "'!B291"), "")</f>
        <v>1.37</v>
      </c>
      <c r="S84">
        <f ca="1">IFERROR(INDIRECT("'" &amp; SUBSTITUTE($R$1,"'","''") &amp; "'!C291"), "")</f>
        <v>26</v>
      </c>
      <c r="T84">
        <f ca="1">IFERROR(INDIRECT("'" &amp; SUBSTITUTE($T$1,"'","''") &amp; "'!B291"), "")</f>
        <v>1.31</v>
      </c>
      <c r="U84">
        <f ca="1">IFERROR(INDIRECT("'" &amp; SUBSTITUTE($T$1,"'","''") &amp; "'!C291"), "")</f>
        <v>28</v>
      </c>
      <c r="V84">
        <f ca="1">IFERROR(INDIRECT("'" &amp; SUBSTITUTE($V$1,"'","''") &amp; "'!B291"), "")</f>
        <v>1.32</v>
      </c>
      <c r="W84">
        <f ca="1">IFERROR(INDIRECT("'" &amp; SUBSTITUTE($V$1,"'","''") &amp; "'!C291"), "")</f>
        <v>29</v>
      </c>
      <c r="X84">
        <f ca="1">IFERROR(INDIRECT("'" &amp; SUBSTITUTE($X$1,"'","''") &amp; "'!B291"), "")</f>
        <v>1.29</v>
      </c>
      <c r="Y84">
        <f ca="1">IFERROR(INDIRECT("'" &amp; SUBSTITUTE($X$1,"'","''") &amp; "'!C291"), "")</f>
        <v>44</v>
      </c>
    </row>
    <row r="85" spans="1:25" x14ac:dyDescent="0.2">
      <c r="A85" t="s">
        <v>83</v>
      </c>
      <c r="B85">
        <f ca="1">IFERROR(INDIRECT("'" &amp; SUBSTITUTE($B$1,"'","''") &amp; "'!B295"), "")</f>
        <v>1.3</v>
      </c>
      <c r="C85">
        <f ca="1">IFERROR(INDIRECT("'" &amp; SUBSTITUTE($B$1,"'","''") &amp; "'!C295"), "")</f>
        <v>66</v>
      </c>
      <c r="D85">
        <f ca="1">IFERROR(INDIRECT("'" &amp; SUBSTITUTE($D$1,"'","''") &amp; "'!B295"), "")</f>
        <v>1.36</v>
      </c>
      <c r="E85">
        <f ca="1">IFERROR(INDIRECT("'" &amp; SUBSTITUTE($D$1,"'","''") &amp; "'!C295"), "")</f>
        <v>71</v>
      </c>
      <c r="F85">
        <f ca="1">IFERROR(INDIRECT("'" &amp; SUBSTITUTE($F$1,"'","''") &amp; "'!B295"), "")</f>
        <v>0.99</v>
      </c>
      <c r="G85">
        <f ca="1">IFERROR(INDIRECT("'" &amp; SUBSTITUTE($F$1,"'","''") &amp; "'!C295"), "")</f>
        <v>34</v>
      </c>
      <c r="H85">
        <f ca="1">IFERROR(INDIRECT("'" &amp; SUBSTITUTE($H$1,"'","''") &amp; "'!B295"), "")</f>
        <v>1.31</v>
      </c>
      <c r="I85">
        <f ca="1">IFERROR(INDIRECT("'" &amp; SUBSTITUTE($H$1,"'","''") &amp; "'!C295"), "")</f>
        <v>67</v>
      </c>
      <c r="J85">
        <f ca="1">IFERROR(INDIRECT("'" &amp; SUBSTITUTE($J$1,"'","''") &amp; "'!B295"), "")</f>
        <v>1.1399999999999999</v>
      </c>
      <c r="K85">
        <f ca="1">IFERROR(INDIRECT("'" &amp; SUBSTITUTE($J$1,"'","''") &amp; "'!C295"), "")</f>
        <v>44</v>
      </c>
      <c r="L85">
        <f ca="1">IFERROR(INDIRECT("'" &amp; SUBSTITUTE($L$1,"'","''") &amp; "'!B295"), "")</f>
        <v>1.62</v>
      </c>
      <c r="M85">
        <f ca="1">IFERROR(INDIRECT("'" &amp; SUBSTITUTE($L$1,"'","''") &amp; "'!C295"), "")</f>
        <v>74</v>
      </c>
      <c r="N85">
        <f ca="1">IFERROR(INDIRECT("'" &amp; SUBSTITUTE($N$1,"'","''") &amp; "'!B295"), "")</f>
        <v>1.0900000000000001</v>
      </c>
      <c r="O85">
        <f ca="1">IFERROR(INDIRECT("'" &amp; SUBSTITUTE($N$1,"'","''") &amp; "'!C295"), "")</f>
        <v>31</v>
      </c>
      <c r="P85">
        <f ca="1">IFERROR(INDIRECT("'" &amp; SUBSTITUTE($P$1,"'","''") &amp; "'!B295"), "")</f>
        <v>1.28</v>
      </c>
      <c r="Q85">
        <f ca="1">IFERROR(INDIRECT("'" &amp; SUBSTITUTE($P$1,"'","''") &amp; "'!C295"), "")</f>
        <v>46</v>
      </c>
      <c r="R85">
        <f ca="1">IFERROR(INDIRECT("'" &amp; SUBSTITUTE($R$1,"'","''") &amp; "'!B295"), "")</f>
        <v>1.1100000000000001</v>
      </c>
      <c r="S85">
        <f ca="1">IFERROR(INDIRECT("'" &amp; SUBSTITUTE($R$1,"'","''") &amp; "'!C295"), "")</f>
        <v>33</v>
      </c>
      <c r="T85">
        <f ca="1">IFERROR(INDIRECT("'" &amp; SUBSTITUTE($T$1,"'","''") &amp; "'!B295"), "")</f>
        <v>1.76</v>
      </c>
      <c r="U85">
        <f ca="1">IFERROR(INDIRECT("'" &amp; SUBSTITUTE($T$1,"'","''") &amp; "'!C295"), "")</f>
        <v>83</v>
      </c>
      <c r="V85">
        <f ca="1">IFERROR(INDIRECT("'" &amp; SUBSTITUTE($V$1,"'","''") &amp; "'!B295"), "")</f>
        <v>1.32</v>
      </c>
      <c r="W85">
        <f ca="1">IFERROR(INDIRECT("'" &amp; SUBSTITUTE($V$1,"'","''") &amp; "'!C295"), "")</f>
        <v>51</v>
      </c>
      <c r="X85">
        <f ca="1">IFERROR(INDIRECT("'" &amp; SUBSTITUTE($X$1,"'","''") &amp; "'!B295"), "")</f>
        <v>1.71</v>
      </c>
      <c r="Y85">
        <f ca="1">IFERROR(INDIRECT("'" &amp; SUBSTITUTE($X$1,"'","''") &amp; "'!C295"), "")</f>
        <v>83</v>
      </c>
    </row>
    <row r="86" spans="1:25" x14ac:dyDescent="0.2">
      <c r="A86" t="s">
        <v>84</v>
      </c>
      <c r="B86">
        <f ca="1">IFERROR(INDIRECT("'" &amp; SUBSTITUTE($B$1,"'","''") &amp; "'!B298"), "")</f>
        <v>0.1</v>
      </c>
      <c r="C86">
        <f ca="1">IFERROR(INDIRECT("'" &amp; SUBSTITUTE($B$1,"'","''") &amp; "'!C298"), "")</f>
        <v>10</v>
      </c>
      <c r="D86">
        <f ca="1">IFERROR(INDIRECT("'" &amp; SUBSTITUTE($D$1,"'","''") &amp; "'!B298"), "")</f>
        <v>0.18</v>
      </c>
      <c r="E86">
        <f ca="1">IFERROR(INDIRECT("'" &amp; SUBSTITUTE($D$1,"'","''") &amp; "'!C298"), "")</f>
        <v>25</v>
      </c>
      <c r="F86">
        <f ca="1">IFERROR(INDIRECT("'" &amp; SUBSTITUTE($F$1,"'","''") &amp; "'!B298"), "")</f>
        <v>0.16</v>
      </c>
      <c r="G86">
        <f ca="1">IFERROR(INDIRECT("'" &amp; SUBSTITUTE($F$1,"'","''") &amp; "'!C298"), "")</f>
        <v>21</v>
      </c>
      <c r="H86">
        <f ca="1">IFERROR(INDIRECT("'" &amp; SUBSTITUTE($H$1,"'","''") &amp; "'!B298"), "")</f>
        <v>0.32</v>
      </c>
      <c r="I86">
        <f ca="1">IFERROR(INDIRECT("'" &amp; SUBSTITUTE($H$1,"'","''") &amp; "'!C298"), "")</f>
        <v>59</v>
      </c>
      <c r="J86">
        <f ca="1">IFERROR(INDIRECT("'" &amp; SUBSTITUTE($J$1,"'","''") &amp; "'!B298"), "")</f>
        <v>0.8</v>
      </c>
      <c r="K86">
        <f ca="1">IFERROR(INDIRECT("'" &amp; SUBSTITUTE($J$1,"'","''") &amp; "'!C298"), "")</f>
        <v>63</v>
      </c>
      <c r="L86">
        <f ca="1">IFERROR(INDIRECT("'" &amp; SUBSTITUTE($L$1,"'","''") &amp; "'!B298"), "")</f>
        <v>0.66</v>
      </c>
      <c r="M86">
        <f ca="1">IFERROR(INDIRECT("'" &amp; SUBSTITUTE($L$1,"'","''") &amp; "'!C298"), "")</f>
        <v>91</v>
      </c>
      <c r="N86">
        <f ca="1">IFERROR(INDIRECT("'" &amp; SUBSTITUTE($N$1,"'","''") &amp; "'!B298"), "")</f>
        <v>0.27</v>
      </c>
      <c r="O86">
        <f ca="1">IFERROR(INDIRECT("'" &amp; SUBSTITUTE($N$1,"'","''") &amp; "'!C298"), "")</f>
        <v>51</v>
      </c>
      <c r="P86">
        <f ca="1">IFERROR(INDIRECT("'" &amp; SUBSTITUTE($P$1,"'","''") &amp; "'!B298"), "")</f>
        <v>0.15</v>
      </c>
      <c r="Q86">
        <f ca="1">IFERROR(INDIRECT("'" &amp; SUBSTITUTE($P$1,"'","''") &amp; "'!C298"), "")</f>
        <v>25</v>
      </c>
      <c r="R86">
        <f ca="1">IFERROR(INDIRECT("'" &amp; SUBSTITUTE($R$1,"'","''") &amp; "'!B298"), "")</f>
        <v>0.3</v>
      </c>
      <c r="S86">
        <f ca="1">IFERROR(INDIRECT("'" &amp; SUBSTITUTE($R$1,"'","''") &amp; "'!C298"), "")</f>
        <v>59</v>
      </c>
      <c r="T86">
        <f ca="1">IFERROR(INDIRECT("'" &amp; SUBSTITUTE($T$1,"'","''") &amp; "'!B298"), "")</f>
        <v>0.66</v>
      </c>
      <c r="U86">
        <f ca="1">IFERROR(INDIRECT("'" &amp; SUBSTITUTE($T$1,"'","''") &amp; "'!C298"), "")</f>
        <v>96</v>
      </c>
      <c r="V86">
        <f ca="1">IFERROR(INDIRECT("'" &amp; SUBSTITUTE($V$1,"'","''") &amp; "'!B298"), "")</f>
        <v>0.22</v>
      </c>
      <c r="W86">
        <f ca="1">IFERROR(INDIRECT("'" &amp; SUBSTITUTE($V$1,"'","''") &amp; "'!C298"), "")</f>
        <v>36</v>
      </c>
      <c r="X86">
        <f ca="1">IFERROR(INDIRECT("'" &amp; SUBSTITUTE($X$1,"'","''") &amp; "'!B298"), "")</f>
        <v>0.46</v>
      </c>
      <c r="Y86">
        <f ca="1">IFERROR(INDIRECT("'" &amp; SUBSTITUTE($X$1,"'","''") &amp; "'!C298"), "")</f>
        <v>86</v>
      </c>
    </row>
    <row r="87" spans="1:25" x14ac:dyDescent="0.2">
      <c r="A87" t="s">
        <v>85</v>
      </c>
      <c r="B87">
        <f ca="1">IFERROR(INDIRECT("'" &amp; SUBSTITUTE($B$1,"'","''") &amp; "'!B305"), "")</f>
        <v>0.71</v>
      </c>
      <c r="C87">
        <f ca="1">IFERROR(INDIRECT("'" &amp; SUBSTITUTE($B$1,"'","''") &amp; "'!C305"), "")</f>
        <v>24</v>
      </c>
      <c r="D87">
        <f ca="1">IFERROR(INDIRECT("'" &amp; SUBSTITUTE($D$1,"'","''") &amp; "'!B305"), "")</f>
        <v>0.85</v>
      </c>
      <c r="E87">
        <f ca="1">IFERROR(INDIRECT("'" &amp; SUBSTITUTE($D$1,"'","''") &amp; "'!C305"), "")</f>
        <v>37</v>
      </c>
      <c r="F87">
        <f ca="1">IFERROR(INDIRECT("'" &amp; SUBSTITUTE($F$1,"'","''") &amp; "'!B305"), "")</f>
        <v>0.56999999999999995</v>
      </c>
      <c r="G87">
        <f ca="1">IFERROR(INDIRECT("'" &amp; SUBSTITUTE($F$1,"'","''") &amp; "'!C305"), "")</f>
        <v>12</v>
      </c>
      <c r="H87">
        <f ca="1">IFERROR(INDIRECT("'" &amp; SUBSTITUTE($H$1,"'","''") &amp; "'!B305"), "")</f>
        <v>1.38</v>
      </c>
      <c r="I87">
        <f ca="1">IFERROR(INDIRECT("'" &amp; SUBSTITUTE($H$1,"'","''") &amp; "'!C305"), "")</f>
        <v>83</v>
      </c>
      <c r="J87">
        <f ca="1">IFERROR(INDIRECT("'" &amp; SUBSTITUTE($J$1,"'","''") &amp; "'!B305"), "")</f>
        <v>1</v>
      </c>
      <c r="K87">
        <f ca="1">IFERROR(INDIRECT("'" &amp; SUBSTITUTE($J$1,"'","''") &amp; "'!C305"), "")</f>
        <v>47</v>
      </c>
      <c r="L87">
        <f ca="1">IFERROR(INDIRECT("'" &amp; SUBSTITUTE($L$1,"'","''") &amp; "'!B305"), "")</f>
        <v>0.88</v>
      </c>
      <c r="M87">
        <f ca="1">IFERROR(INDIRECT("'" &amp; SUBSTITUTE($L$1,"'","''") &amp; "'!C305"), "")</f>
        <v>52</v>
      </c>
      <c r="N87">
        <f ca="1">IFERROR(INDIRECT("'" &amp; SUBSTITUTE($N$1,"'","''") &amp; "'!B305"), "")</f>
        <v>1.24</v>
      </c>
      <c r="O87">
        <f ca="1">IFERROR(INDIRECT("'" &amp; SUBSTITUTE($N$1,"'","''") &amp; "'!C305"), "")</f>
        <v>76</v>
      </c>
      <c r="P87">
        <f ca="1">IFERROR(INDIRECT("'" &amp; SUBSTITUTE($P$1,"'","''") &amp; "'!B305"), "")</f>
        <v>0.57999999999999996</v>
      </c>
      <c r="Q87">
        <f ca="1">IFERROR(INDIRECT("'" &amp; SUBSTITUTE($P$1,"'","''") &amp; "'!C305"), "")</f>
        <v>16</v>
      </c>
      <c r="R87">
        <f ca="1">IFERROR(INDIRECT("'" &amp; SUBSTITUTE($R$1,"'","''") &amp; "'!B305"), "")</f>
        <v>0.91</v>
      </c>
      <c r="S87">
        <f ca="1">IFERROR(INDIRECT("'" &amp; SUBSTITUTE($R$1,"'","''") &amp; "'!C305"), "")</f>
        <v>42</v>
      </c>
      <c r="T87">
        <f ca="1">IFERROR(INDIRECT("'" &amp; SUBSTITUTE($T$1,"'","''") &amp; "'!B305"), "")</f>
        <v>1.49</v>
      </c>
      <c r="U87">
        <f ca="1">IFERROR(INDIRECT("'" &amp; SUBSTITUTE($T$1,"'","''") &amp; "'!C305"), "")</f>
        <v>86</v>
      </c>
      <c r="V87">
        <f ca="1">IFERROR(INDIRECT("'" &amp; SUBSTITUTE($V$1,"'","''") &amp; "'!B305"), "")</f>
        <v>0.55000000000000004</v>
      </c>
      <c r="W87">
        <f ca="1">IFERROR(INDIRECT("'" &amp; SUBSTITUTE($V$1,"'","''") &amp; "'!C305"), "")</f>
        <v>20</v>
      </c>
      <c r="X87">
        <f ca="1">IFERROR(INDIRECT("'" &amp; SUBSTITUTE($X$1,"'","''") &amp; "'!B305"), "")</f>
        <v>0.42</v>
      </c>
      <c r="Y87">
        <f ca="1">IFERROR(INDIRECT("'" &amp; SUBSTITUTE($X$1,"'","''") &amp; "'!C305"), "")</f>
        <v>7</v>
      </c>
    </row>
    <row r="88" spans="1:25" x14ac:dyDescent="0.2">
      <c r="A88" t="s">
        <v>86</v>
      </c>
      <c r="B88">
        <f ca="1">IFERROR(INDIRECT("'" &amp; SUBSTITUTE($B$1,"'","''") &amp; "'!B308"), "")</f>
        <v>2.76</v>
      </c>
      <c r="C88">
        <f ca="1">IFERROR(INDIRECT("'" &amp; SUBSTITUTE($B$1,"'","''") &amp; "'!C308"), "")</f>
        <v>35</v>
      </c>
      <c r="D88">
        <f ca="1">IFERROR(INDIRECT("'" &amp; SUBSTITUTE($D$1,"'","''") &amp; "'!B308"), "")</f>
        <v>4.12</v>
      </c>
      <c r="E88">
        <f ca="1">IFERROR(INDIRECT("'" &amp; SUBSTITUTE($D$1,"'","''") &amp; "'!C308"), "")</f>
        <v>88</v>
      </c>
      <c r="F88">
        <f ca="1">IFERROR(INDIRECT("'" &amp; SUBSTITUTE($F$1,"'","''") &amp; "'!B308"), "")</f>
        <v>2.82</v>
      </c>
      <c r="G88">
        <f ca="1">IFERROR(INDIRECT("'" &amp; SUBSTITUTE($F$1,"'","''") &amp; "'!C308"), "")</f>
        <v>38</v>
      </c>
      <c r="H88">
        <f ca="1">IFERROR(INDIRECT("'" &amp; SUBSTITUTE($H$1,"'","''") &amp; "'!B308"), "")</f>
        <v>4.54</v>
      </c>
      <c r="I88">
        <f ca="1">IFERROR(INDIRECT("'" &amp; SUBSTITUTE($H$1,"'","''") &amp; "'!C308"), "")</f>
        <v>96</v>
      </c>
      <c r="J88">
        <f ca="1">IFERROR(INDIRECT("'" &amp; SUBSTITUTE($J$1,"'","''") &amp; "'!B308"), "")</f>
        <v>1.94</v>
      </c>
      <c r="K88">
        <f ca="1">IFERROR(INDIRECT("'" &amp; SUBSTITUTE($J$1,"'","''") &amp; "'!C308"), "")</f>
        <v>16</v>
      </c>
      <c r="L88">
        <f ca="1">IFERROR(INDIRECT("'" &amp; SUBSTITUTE($L$1,"'","''") &amp; "'!B308"), "")</f>
        <v>2.8</v>
      </c>
      <c r="M88">
        <f ca="1">IFERROR(INDIRECT("'" &amp; SUBSTITUTE($L$1,"'","''") &amp; "'!C308"), "")</f>
        <v>40</v>
      </c>
      <c r="N88">
        <f ca="1">IFERROR(INDIRECT("'" &amp; SUBSTITUTE($N$1,"'","''") &amp; "'!B308"), "")</f>
        <v>3.97</v>
      </c>
      <c r="O88">
        <f ca="1">IFERROR(INDIRECT("'" &amp; SUBSTITUTE($N$1,"'","''") &amp; "'!C308"), "")</f>
        <v>81</v>
      </c>
      <c r="P88">
        <f ca="1">IFERROR(INDIRECT("'" &amp; SUBSTITUTE($P$1,"'","''") &amp; "'!B308"), "")</f>
        <v>3.03</v>
      </c>
      <c r="Q88">
        <f ca="1">IFERROR(INDIRECT("'" &amp; SUBSTITUTE($P$1,"'","''") &amp; "'!C308"), "")</f>
        <v>42</v>
      </c>
      <c r="R88">
        <f ca="1">IFERROR(INDIRECT("'" &amp; SUBSTITUTE($R$1,"'","''") &amp; "'!B308"), "")</f>
        <v>3.49</v>
      </c>
      <c r="S88">
        <f ca="1">IFERROR(INDIRECT("'" &amp; SUBSTITUTE($R$1,"'","''") &amp; "'!C308"), "")</f>
        <v>67</v>
      </c>
      <c r="T88">
        <f ca="1">IFERROR(INDIRECT("'" &amp; SUBSTITUTE($T$1,"'","''") &amp; "'!B308"), "")</f>
        <v>3.85</v>
      </c>
      <c r="U88">
        <f ca="1">IFERROR(INDIRECT("'" &amp; SUBSTITUTE($T$1,"'","''") &amp; "'!C308"), "")</f>
        <v>80</v>
      </c>
      <c r="V88">
        <f ca="1">IFERROR(INDIRECT("'" &amp; SUBSTITUTE($V$1,"'","''") &amp; "'!B308"), "")</f>
        <v>4.4000000000000004</v>
      </c>
      <c r="W88">
        <f ca="1">IFERROR(INDIRECT("'" &amp; SUBSTITUTE($V$1,"'","''") &amp; "'!C308"), "")</f>
        <v>87</v>
      </c>
      <c r="X88">
        <f ca="1">IFERROR(INDIRECT("'" &amp; SUBSTITUTE($X$1,"'","''") &amp; "'!B308"), "")</f>
        <v>2.35</v>
      </c>
      <c r="Y88">
        <f ca="1">IFERROR(INDIRECT("'" &amp; SUBSTITUTE($X$1,"'","''") &amp; "'!C308"), "")</f>
        <v>27</v>
      </c>
    </row>
    <row r="89" spans="1:25" x14ac:dyDescent="0.2">
      <c r="A89" t="s">
        <v>87</v>
      </c>
      <c r="B89">
        <f ca="1">IFERROR(INDIRECT("'" &amp; SUBSTITUTE($B$1,"'","''") &amp; "'!B311"), "")</f>
        <v>2.2400000000000002</v>
      </c>
      <c r="C89">
        <f ca="1">IFERROR(INDIRECT("'" &amp; SUBSTITUTE($B$1,"'","''") &amp; "'!C311"), "")</f>
        <v>82</v>
      </c>
      <c r="D89">
        <f ca="1">IFERROR(INDIRECT("'" &amp; SUBSTITUTE($D$1,"'","''") &amp; "'!B311"), "")</f>
        <v>1.39</v>
      </c>
      <c r="E89">
        <f ca="1">IFERROR(INDIRECT("'" &amp; SUBSTITUTE($D$1,"'","''") &amp; "'!C311"), "")</f>
        <v>44</v>
      </c>
      <c r="F89">
        <f ca="1">IFERROR(INDIRECT("'" &amp; SUBSTITUTE($F$1,"'","''") &amp; "'!B311"), "")</f>
        <v>1.1499999999999999</v>
      </c>
      <c r="G89">
        <f ca="1">IFERROR(INDIRECT("'" &amp; SUBSTITUTE($F$1,"'","''") &amp; "'!C311"), "")</f>
        <v>26</v>
      </c>
      <c r="H89">
        <f ca="1">IFERROR(INDIRECT("'" &amp; SUBSTITUTE($H$1,"'","''") &amp; "'!B311"), "")</f>
        <v>1.31</v>
      </c>
      <c r="I89">
        <f ca="1">IFERROR(INDIRECT("'" &amp; SUBSTITUTE($H$1,"'","''") &amp; "'!C311"), "")</f>
        <v>36</v>
      </c>
      <c r="J89">
        <f ca="1">IFERROR(INDIRECT("'" &amp; SUBSTITUTE($J$1,"'","''") &amp; "'!B311"), "")</f>
        <v>3.34</v>
      </c>
      <c r="K89">
        <f ca="1">IFERROR(INDIRECT("'" &amp; SUBSTITUTE($J$1,"'","''") &amp; "'!C311"), "")</f>
        <v>7</v>
      </c>
      <c r="L89">
        <f ca="1">IFERROR(INDIRECT("'" &amp; SUBSTITUTE($L$1,"'","''") &amp; "'!B311"), "")</f>
        <v>1.33</v>
      </c>
      <c r="M89">
        <f ca="1">IFERROR(INDIRECT("'" &amp; SUBSTITUTE($L$1,"'","''") &amp; "'!C311"), "")</f>
        <v>55</v>
      </c>
      <c r="N89">
        <f ca="1">IFERROR(INDIRECT("'" &amp; SUBSTITUTE($N$1,"'","''") &amp; "'!B311"), "")</f>
        <v>1.94</v>
      </c>
      <c r="O89">
        <f ca="1">IFERROR(INDIRECT("'" &amp; SUBSTITUTE($N$1,"'","''") &amp; "'!C311"), "")</f>
        <v>84</v>
      </c>
      <c r="P89">
        <f ca="1">IFERROR(INDIRECT("'" &amp; SUBSTITUTE($P$1,"'","''") &amp; "'!B311"), "")</f>
        <v>1.28</v>
      </c>
      <c r="Q89">
        <f ca="1">IFERROR(INDIRECT("'" &amp; SUBSTITUTE($P$1,"'","''") &amp; "'!C311"), "")</f>
        <v>55</v>
      </c>
      <c r="R89">
        <f ca="1">IFERROR(INDIRECT("'" &amp; SUBSTITUTE($R$1,"'","''") &amp; "'!B311"), "")</f>
        <v>1.01</v>
      </c>
      <c r="S89">
        <f ca="1">IFERROR(INDIRECT("'" &amp; SUBSTITUTE($R$1,"'","''") &amp; "'!C311"), "")</f>
        <v>43</v>
      </c>
      <c r="T89">
        <f ca="1">IFERROR(INDIRECT("'" &amp; SUBSTITUTE($T$1,"'","''") &amp; "'!B311"), "")</f>
        <v>2.5299999999999998</v>
      </c>
      <c r="U89">
        <f ca="1">IFERROR(INDIRECT("'" &amp; SUBSTITUTE($T$1,"'","''") &amp; "'!C311"), "")</f>
        <v>97</v>
      </c>
      <c r="V89">
        <f ca="1">IFERROR(INDIRECT("'" &amp; SUBSTITUTE($V$1,"'","''") &amp; "'!B311"), "")</f>
        <v>0.77</v>
      </c>
      <c r="W89">
        <f ca="1">IFERROR(INDIRECT("'" &amp; SUBSTITUTE($V$1,"'","''") &amp; "'!C311"), "")</f>
        <v>27</v>
      </c>
      <c r="X89">
        <f ca="1">IFERROR(INDIRECT("'" &amp; SUBSTITUTE($X$1,"'","''") &amp; "'!B311"), "")</f>
        <v>1.75</v>
      </c>
      <c r="Y89">
        <f ca="1">IFERROR(INDIRECT("'" &amp; SUBSTITUTE($X$1,"'","''") &amp; "'!C311"), "")</f>
        <v>83</v>
      </c>
    </row>
    <row r="90" spans="1:25" x14ac:dyDescent="0.2">
      <c r="A90" t="s">
        <v>88</v>
      </c>
      <c r="B90">
        <f ca="1">IFERROR(INDIRECT("'" &amp; SUBSTITUTE($B$1,"'","''") &amp; "'!B314"), "")</f>
        <v>0</v>
      </c>
      <c r="C90">
        <f ca="1">IFERROR(INDIRECT("'" &amp; SUBSTITUTE($B$1,"'","''") &amp; "'!C314"), "")</f>
        <v>88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88</v>
      </c>
      <c r="F90">
        <f ca="1">IFERROR(INDIRECT("'" &amp; SUBSTITUTE($F$1,"'","''") &amp; "'!B314"), "")</f>
        <v>0.16</v>
      </c>
      <c r="G90">
        <f ca="1">IFERROR(INDIRECT("'" &amp; SUBSTITUTE($F$1,"'","''") &amp; "'!C314"), "")</f>
        <v>8</v>
      </c>
      <c r="H90">
        <f ca="1">IFERROR(INDIRECT("'" &amp; SUBSTITUTE($H$1,"'","''") &amp; "'!B314"), "")</f>
        <v>0.13</v>
      </c>
      <c r="I90">
        <f ca="1">IFERROR(INDIRECT("'" &amp; SUBSTITUTE($H$1,"'","''") &amp; "'!C314"), "")</f>
        <v>13</v>
      </c>
      <c r="J90">
        <f ca="1">IFERROR(INDIRECT("'" &amp; SUBSTITUTE($J$1,"'","''") &amp; "'!B314"), "")</f>
        <v>0.14000000000000001</v>
      </c>
      <c r="K90">
        <f ca="1">IFERROR(INDIRECT("'" &amp; SUBSTITUTE($J$1,"'","''") &amp; "'!C314"), "")</f>
        <v>19</v>
      </c>
      <c r="L90">
        <f ca="1">IFERROR(INDIRECT("'" &amp; SUBSTITUTE($L$1,"'","''") &amp; "'!B314"), "")</f>
        <v>0</v>
      </c>
      <c r="M90">
        <f ca="1">IFERROR(INDIRECT("'" &amp; SUBSTITUTE($L$1,"'","''") &amp; "'!C314"), "")</f>
        <v>71</v>
      </c>
      <c r="N90">
        <f ca="1">IFERROR(INDIRECT("'" &amp; SUBSTITUTE($N$1,"'","''") &amp; "'!B314"), "")</f>
        <v>0</v>
      </c>
      <c r="O90">
        <f ca="1">IFERROR(INDIRECT("'" &amp; SUBSTITUTE($N$1,"'","''") &amp; "'!C314"), "")</f>
        <v>71</v>
      </c>
      <c r="P90">
        <f ca="1">IFERROR(INDIRECT("'" &amp; SUBSTITUTE($P$1,"'","''") &amp; "'!B314"), "")</f>
        <v>7.0000000000000007E-2</v>
      </c>
      <c r="Q90">
        <f ca="1">IFERROR(INDIRECT("'" &amp; SUBSTITUTE($P$1,"'","''") &amp; "'!C314"), "")</f>
        <v>13</v>
      </c>
      <c r="R90">
        <f ca="1">IFERROR(INDIRECT("'" &amp; SUBSTITUTE($R$1,"'","''") &amp; "'!B314"), "")</f>
        <v>0</v>
      </c>
      <c r="S90">
        <f ca="1">IFERROR(INDIRECT("'" &amp; SUBSTITUTE($R$1,"'","''") &amp; "'!C314"), "")</f>
        <v>69</v>
      </c>
      <c r="T90">
        <f ca="1">IFERROR(INDIRECT("'" &amp; SUBSTITUTE($T$1,"'","''") &amp; "'!B314"), "")</f>
        <v>0.03</v>
      </c>
      <c r="U90">
        <f ca="1">IFERROR(INDIRECT("'" &amp; SUBSTITUTE($T$1,"'","''") &amp; "'!C314"), "")</f>
        <v>34</v>
      </c>
      <c r="V90">
        <f ca="1">IFERROR(INDIRECT("'" &amp; SUBSTITUTE($V$1,"'","''") &amp; "'!B314"), "")</f>
        <v>0</v>
      </c>
      <c r="W90">
        <f ca="1">IFERROR(INDIRECT("'" &amp; SUBSTITUTE($V$1,"'","''") &amp; "'!C314"), "")</f>
        <v>71</v>
      </c>
      <c r="X90">
        <f ca="1">IFERROR(INDIRECT("'" &amp; SUBSTITUTE($X$1,"'","''") &amp; "'!B314"), "")</f>
        <v>0.05</v>
      </c>
      <c r="Y90">
        <f ca="1">IFERROR(INDIRECT("'" &amp; SUBSTITUTE($X$1,"'","''") &amp; "'!C314"), "")</f>
        <v>25</v>
      </c>
    </row>
    <row r="91" spans="1:25" x14ac:dyDescent="0.2">
      <c r="A91" t="s">
        <v>89</v>
      </c>
      <c r="B91">
        <f ca="1">IFERROR(INDIRECT("'" &amp; SUBSTITUTE($B$1,"'","''") &amp; "'!B319"), "")</f>
        <v>31.47</v>
      </c>
      <c r="C91">
        <f ca="1">IFERROR(INDIRECT("'" &amp; SUBSTITUTE($B$1,"'","''") &amp; "'!C319"), "")</f>
        <v>1</v>
      </c>
      <c r="D91">
        <f ca="1">IFERROR(INDIRECT("'" &amp; SUBSTITUTE($D$1,"'","''") &amp; "'!B319"), "")</f>
        <v>63.99</v>
      </c>
      <c r="E91">
        <f ca="1">IFERROR(INDIRECT("'" &amp; SUBSTITUTE($D$1,"'","''") &amp; "'!C319"), "")</f>
        <v>64</v>
      </c>
      <c r="F91">
        <f ca="1">IFERROR(INDIRECT("'" &amp; SUBSTITUTE($F$1,"'","''") &amp; "'!B319"), "")</f>
        <v>48.68</v>
      </c>
      <c r="G91">
        <f ca="1">IFERROR(INDIRECT("'" &amp; SUBSTITUTE($F$1,"'","''") &amp; "'!C319"), "")</f>
        <v>16</v>
      </c>
      <c r="H91">
        <f ca="1">IFERROR(INDIRECT("'" &amp; SUBSTITUTE($H$1,"'","''") &amp; "'!B319"), "")</f>
        <v>58.82</v>
      </c>
      <c r="I91">
        <f ca="1">IFERROR(INDIRECT("'" &amp; SUBSTITUTE($H$1,"'","''") &amp; "'!C319"), "")</f>
        <v>47</v>
      </c>
      <c r="J91">
        <f ca="1">IFERROR(INDIRECT("'" &amp; SUBSTITUTE($J$1,"'","''") &amp; "'!B319"), "")</f>
        <v>79</v>
      </c>
      <c r="K91">
        <f ca="1">IFERROR(INDIRECT("'" &amp; SUBSTITUTE($J$1,"'","''") &amp; "'!C319"), "")</f>
        <v>83</v>
      </c>
      <c r="L91">
        <f ca="1">IFERROR(INDIRECT("'" &amp; SUBSTITUTE($L$1,"'","''") &amp; "'!B319"), "")</f>
        <v>78.14</v>
      </c>
      <c r="M91">
        <f ca="1">IFERROR(INDIRECT("'" &amp; SUBSTITUTE($L$1,"'","''") &amp; "'!C319"), "")</f>
        <v>86</v>
      </c>
      <c r="N91">
        <f ca="1">IFERROR(INDIRECT("'" &amp; SUBSTITUTE($N$1,"'","''") &amp; "'!B319"), "")</f>
        <v>55.1</v>
      </c>
      <c r="O91">
        <f ca="1">IFERROR(INDIRECT("'" &amp; SUBSTITUTE($N$1,"'","''") &amp; "'!C319"), "")</f>
        <v>45</v>
      </c>
      <c r="P91">
        <f ca="1">IFERROR(INDIRECT("'" &amp; SUBSTITUTE($P$1,"'","''") &amp; "'!B319"), "")</f>
        <v>49.4</v>
      </c>
      <c r="Q91">
        <f ca="1">IFERROR(INDIRECT("'" &amp; SUBSTITUTE($P$1,"'","''") &amp; "'!C319"), "")</f>
        <v>26</v>
      </c>
      <c r="R91">
        <f ca="1">IFERROR(INDIRECT("'" &amp; SUBSTITUTE($R$1,"'","''") &amp; "'!B319"), "")</f>
        <v>61.58</v>
      </c>
      <c r="S91">
        <f ca="1">IFERROR(INDIRECT("'" &amp; SUBSTITUTE($R$1,"'","''") &amp; "'!C319"), "")</f>
        <v>65</v>
      </c>
      <c r="T91">
        <f ca="1">IFERROR(INDIRECT("'" &amp; SUBSTITUTE($T$1,"'","''") &amp; "'!B319"), "")</f>
        <v>74.11</v>
      </c>
      <c r="U91">
        <f ca="1">IFERROR(INDIRECT("'" &amp; SUBSTITUTE($T$1,"'","''") &amp; "'!C319"), "")</f>
        <v>88</v>
      </c>
      <c r="V91">
        <f ca="1">IFERROR(INDIRECT("'" &amp; SUBSTITUTE($V$1,"'","''") &amp; "'!B319"), "")</f>
        <v>61.1</v>
      </c>
      <c r="W91">
        <f ca="1">IFERROR(INDIRECT("'" &amp; SUBSTITUTE($V$1,"'","''") &amp; "'!C319"), "")</f>
        <v>63</v>
      </c>
      <c r="X91">
        <f ca="1">IFERROR(INDIRECT("'" &amp; SUBSTITUTE($X$1,"'","''") &amp; "'!B319"), "")</f>
        <v>47.26</v>
      </c>
      <c r="Y91">
        <f ca="1">IFERROR(INDIRECT("'" &amp; SUBSTITUTE($X$1,"'","''") &amp; "'!C319"), "")</f>
        <v>23</v>
      </c>
    </row>
    <row r="92" spans="1:25" x14ac:dyDescent="0.2">
      <c r="A92" t="s">
        <v>90</v>
      </c>
      <c r="B92">
        <f ca="1">IFERROR(INDIRECT("'" &amp; SUBSTITUTE($B$1,"'","''") &amp; "'!B322"), "")</f>
        <v>2.4700000000000002</v>
      </c>
      <c r="C92">
        <f ca="1">IFERROR(INDIRECT("'" &amp; SUBSTITUTE($B$1,"'","''") &amp; "'!C322"), "")</f>
        <v>52</v>
      </c>
      <c r="D92">
        <f ca="1">IFERROR(INDIRECT("'" &amp; SUBSTITUTE($D$1,"'","''") &amp; "'!B322"), "")</f>
        <v>2.21</v>
      </c>
      <c r="E92">
        <f ca="1">IFERROR(INDIRECT("'" &amp; SUBSTITUTE($D$1,"'","''") &amp; "'!C322"), "")</f>
        <v>42</v>
      </c>
      <c r="F92">
        <f ca="1">IFERROR(INDIRECT("'" &amp; SUBSTITUTE($F$1,"'","''") &amp; "'!B322"), "")</f>
        <v>1.36</v>
      </c>
      <c r="G92">
        <f ca="1">IFERROR(INDIRECT("'" &amp; SUBSTITUTE($F$1,"'","''") &amp; "'!C322"), "")</f>
        <v>9</v>
      </c>
      <c r="H92">
        <f ca="1">IFERROR(INDIRECT("'" &amp; SUBSTITUTE($H$1,"'","''") &amp; "'!B322"), "")</f>
        <v>2.91</v>
      </c>
      <c r="I92">
        <f ca="1">IFERROR(INDIRECT("'" &amp; SUBSTITUTE($H$1,"'","''") &amp; "'!C322"), "")</f>
        <v>69</v>
      </c>
      <c r="J92">
        <f ca="1">IFERROR(INDIRECT("'" &amp; SUBSTITUTE($J$1,"'","''") &amp; "'!B322"), "")</f>
        <v>8.94</v>
      </c>
      <c r="K92">
        <f ca="1">IFERROR(INDIRECT("'" &amp; SUBSTITUTE($J$1,"'","''") &amp; "'!C322"), "")</f>
        <v>65</v>
      </c>
      <c r="L92">
        <f ca="1">IFERROR(INDIRECT("'" &amp; SUBSTITUTE($L$1,"'","''") &amp; "'!B322"), "")</f>
        <v>2.95</v>
      </c>
      <c r="M92">
        <f ca="1">IFERROR(INDIRECT("'" &amp; SUBSTITUTE($L$1,"'","''") &amp; "'!C322"), "")</f>
        <v>73</v>
      </c>
      <c r="N92">
        <f ca="1">IFERROR(INDIRECT("'" &amp; SUBSTITUTE($N$1,"'","''") &amp; "'!B322"), "")</f>
        <v>3.94</v>
      </c>
      <c r="O92">
        <f ca="1">IFERROR(INDIRECT("'" &amp; SUBSTITUTE($N$1,"'","''") &amp; "'!C322"), "")</f>
        <v>86</v>
      </c>
      <c r="P92">
        <f ca="1">IFERROR(INDIRECT("'" &amp; SUBSTITUTE($P$1,"'","''") &amp; "'!B322"), "")</f>
        <v>2.33</v>
      </c>
      <c r="Q92">
        <f ca="1">IFERROR(INDIRECT("'" &amp; SUBSTITUTE($P$1,"'","''") &amp; "'!C322"), "")</f>
        <v>50</v>
      </c>
      <c r="R92">
        <f ca="1">IFERROR(INDIRECT("'" &amp; SUBSTITUTE($R$1,"'","''") &amp; "'!B322"), "")</f>
        <v>2.12</v>
      </c>
      <c r="S92">
        <f ca="1">IFERROR(INDIRECT("'" &amp; SUBSTITUTE($R$1,"'","''") &amp; "'!C322"), "")</f>
        <v>45</v>
      </c>
      <c r="T92">
        <f ca="1">IFERROR(INDIRECT("'" &amp; SUBSTITUTE($T$1,"'","''") &amp; "'!B322"), "")</f>
        <v>5.28</v>
      </c>
      <c r="U92">
        <f ca="1">IFERROR(INDIRECT("'" &amp; SUBSTITUTE($T$1,"'","''") &amp; "'!C322"), "")</f>
        <v>99</v>
      </c>
      <c r="V92">
        <f ca="1">IFERROR(INDIRECT("'" &amp; SUBSTITUTE($V$1,"'","''") &amp; "'!B322"), "")</f>
        <v>1.87</v>
      </c>
      <c r="W92">
        <f ca="1">IFERROR(INDIRECT("'" &amp; SUBSTITUTE($V$1,"'","''") &amp; "'!C322"), "")</f>
        <v>28</v>
      </c>
      <c r="X92">
        <f ca="1">IFERROR(INDIRECT("'" &amp; SUBSTITUTE($X$1,"'","''") &amp; "'!B322"), "")</f>
        <v>2.72</v>
      </c>
      <c r="Y92">
        <f ca="1">IFERROR(INDIRECT("'" &amp; SUBSTITUTE($X$1,"'","''") &amp; "'!C322"), "")</f>
        <v>71</v>
      </c>
    </row>
    <row r="93" spans="1:25" x14ac:dyDescent="0.2">
      <c r="A93" t="s">
        <v>91</v>
      </c>
      <c r="B93">
        <f ca="1">IFERROR(INDIRECT("'" &amp; SUBSTITUTE($B$1,"'","''") &amp; "'!B325"), "")</f>
        <v>6.69</v>
      </c>
      <c r="C93">
        <f ca="1">IFERROR(INDIRECT("'" &amp; SUBSTITUTE($B$1,"'","''") &amp; "'!C325"), "")</f>
        <v>3</v>
      </c>
      <c r="D93">
        <f ca="1">IFERROR(INDIRECT("'" &amp; SUBSTITUTE($D$1,"'","''") &amp; "'!B325"), "")</f>
        <v>13.63</v>
      </c>
      <c r="E93">
        <f ca="1">IFERROR(INDIRECT("'" &amp; SUBSTITUTE($D$1,"'","''") &amp; "'!C325"), "")</f>
        <v>55</v>
      </c>
      <c r="F93">
        <f ca="1">IFERROR(INDIRECT("'" &amp; SUBSTITUTE($F$1,"'","''") &amp; "'!B325"), "")</f>
        <v>8.1999999999999993</v>
      </c>
      <c r="G93">
        <f ca="1">IFERROR(INDIRECT("'" &amp; SUBSTITUTE($F$1,"'","''") &amp; "'!C325"), "")</f>
        <v>8</v>
      </c>
      <c r="H93">
        <f ca="1">IFERROR(INDIRECT("'" &amp; SUBSTITUTE($H$1,"'","''") &amp; "'!B325"), "")</f>
        <v>15.83</v>
      </c>
      <c r="I93">
        <f ca="1">IFERROR(INDIRECT("'" &amp; SUBSTITUTE($H$1,"'","''") &amp; "'!C325"), "")</f>
        <v>76</v>
      </c>
      <c r="J93">
        <f ca="1">IFERROR(INDIRECT("'" &amp; SUBSTITUTE($J$1,"'","''") &amp; "'!B325"), "")</f>
        <v>36.54</v>
      </c>
      <c r="K93">
        <f ca="1">IFERROR(INDIRECT("'" &amp; SUBSTITUTE($J$1,"'","''") &amp; "'!C325"), "")</f>
        <v>86</v>
      </c>
      <c r="L93">
        <f ca="1">IFERROR(INDIRECT("'" &amp; SUBSTITUTE($L$1,"'","''") &amp; "'!B325"), "")</f>
        <v>19.52</v>
      </c>
      <c r="M93">
        <f ca="1">IFERROR(INDIRECT("'" &amp; SUBSTITUTE($L$1,"'","''") &amp; "'!C325"), "")</f>
        <v>88</v>
      </c>
      <c r="N93">
        <f ca="1">IFERROR(INDIRECT("'" &amp; SUBSTITUTE($N$1,"'","''") &amp; "'!B325"), "")</f>
        <v>16.89</v>
      </c>
      <c r="O93">
        <f ca="1">IFERROR(INDIRECT("'" &amp; SUBSTITUTE($N$1,"'","''") &amp; "'!C325"), "")</f>
        <v>82</v>
      </c>
      <c r="P93">
        <f ca="1">IFERROR(INDIRECT("'" &amp; SUBSTITUTE($P$1,"'","''") &amp; "'!B325"), "")</f>
        <v>11.86</v>
      </c>
      <c r="Q93">
        <f ca="1">IFERROR(INDIRECT("'" &amp; SUBSTITUTE($P$1,"'","''") &amp; "'!C325"), "")</f>
        <v>51</v>
      </c>
      <c r="R93">
        <f ca="1">IFERROR(INDIRECT("'" &amp; SUBSTITUTE($R$1,"'","''") &amp; "'!B325"), "")</f>
        <v>12.29</v>
      </c>
      <c r="S93">
        <f ca="1">IFERROR(INDIRECT("'" &amp; SUBSTITUTE($R$1,"'","''") &amp; "'!C325"), "")</f>
        <v>55</v>
      </c>
      <c r="T93">
        <f ca="1">IFERROR(INDIRECT("'" &amp; SUBSTITUTE($T$1,"'","''") &amp; "'!B325"), "")</f>
        <v>24.18</v>
      </c>
      <c r="U93">
        <f ca="1">IFERROR(INDIRECT("'" &amp; SUBSTITUTE($T$1,"'","''") &amp; "'!C325"), "")</f>
        <v>99</v>
      </c>
      <c r="V93">
        <f ca="1">IFERROR(INDIRECT("'" &amp; SUBSTITUTE($V$1,"'","''") &amp; "'!B325"), "")</f>
        <v>14.07</v>
      </c>
      <c r="W93">
        <f ca="1">IFERROR(INDIRECT("'" &amp; SUBSTITUTE($V$1,"'","''") &amp; "'!C325"), "")</f>
        <v>56</v>
      </c>
      <c r="X93">
        <f ca="1">IFERROR(INDIRECT("'" &amp; SUBSTITUTE($X$1,"'","''") &amp; "'!B325"), "")</f>
        <v>13.02</v>
      </c>
      <c r="Y93">
        <f ca="1">IFERROR(INDIRECT("'" &amp; SUBSTITUTE($X$1,"'","''") &amp; "'!C325"), "")</f>
        <v>55</v>
      </c>
    </row>
    <row r="94" spans="1:25" x14ac:dyDescent="0.2">
      <c r="A94" t="s">
        <v>92</v>
      </c>
      <c r="B94">
        <f ca="1">IFERROR(INDIRECT("'" &amp; SUBSTITUTE($B$1,"'","''") &amp; "'!B328"), "")</f>
        <v>14.06</v>
      </c>
      <c r="C94">
        <f ca="1">IFERROR(INDIRECT("'" &amp; SUBSTITUTE($B$1,"'","''") &amp; "'!C328"), "")</f>
        <v>1</v>
      </c>
      <c r="D94">
        <f ca="1">IFERROR(INDIRECT("'" &amp; SUBSTITUTE($D$1,"'","''") &amp; "'!B328"), "")</f>
        <v>35.64</v>
      </c>
      <c r="E94">
        <f ca="1">IFERROR(INDIRECT("'" &amp; SUBSTITUTE($D$1,"'","''") &amp; "'!C328"), "")</f>
        <v>60</v>
      </c>
      <c r="F94">
        <f ca="1">IFERROR(INDIRECT("'" &amp; SUBSTITUTE($F$1,"'","''") &amp; "'!B328"), "")</f>
        <v>23.56</v>
      </c>
      <c r="G94">
        <f ca="1">IFERROR(INDIRECT("'" &amp; SUBSTITUTE($F$1,"'","''") &amp; "'!C328"), "")</f>
        <v>11</v>
      </c>
      <c r="H94">
        <f ca="1">IFERROR(INDIRECT("'" &amp; SUBSTITUTE($H$1,"'","''") &amp; "'!B328"), "")</f>
        <v>38.19</v>
      </c>
      <c r="I94">
        <f ca="1">IFERROR(INDIRECT("'" &amp; SUBSTITUTE($H$1,"'","''") &amp; "'!C328"), "")</f>
        <v>73</v>
      </c>
      <c r="J94">
        <f ca="1">IFERROR(INDIRECT("'" &amp; SUBSTITUTE($J$1,"'","''") &amp; "'!B328"), "")</f>
        <v>39.03</v>
      </c>
      <c r="K94">
        <f ca="1">IFERROR(INDIRECT("'" &amp; SUBSTITUTE($J$1,"'","''") &amp; "'!C328"), "")</f>
        <v>76</v>
      </c>
      <c r="L94">
        <f ca="1">IFERROR(INDIRECT("'" &amp; SUBSTITUTE($L$1,"'","''") &amp; "'!B328"), "")</f>
        <v>45.66</v>
      </c>
      <c r="M94">
        <f ca="1">IFERROR(INDIRECT("'" &amp; SUBSTITUTE($L$1,"'","''") &amp; "'!C328"), "")</f>
        <v>88</v>
      </c>
      <c r="N94">
        <f ca="1">IFERROR(INDIRECT("'" &amp; SUBSTITUTE($N$1,"'","''") &amp; "'!B328"), "")</f>
        <v>29.72</v>
      </c>
      <c r="O94">
        <f ca="1">IFERROR(INDIRECT("'" &amp; SUBSTITUTE($N$1,"'","''") &amp; "'!C328"), "")</f>
        <v>53</v>
      </c>
      <c r="P94">
        <f ca="1">IFERROR(INDIRECT("'" &amp; SUBSTITUTE($P$1,"'","''") &amp; "'!B328"), "")</f>
        <v>23.93</v>
      </c>
      <c r="Q94">
        <f ca="1">IFERROR(INDIRECT("'" &amp; SUBSTITUTE($P$1,"'","''") &amp; "'!C328"), "")</f>
        <v>26</v>
      </c>
      <c r="R94">
        <f ca="1">IFERROR(INDIRECT("'" &amp; SUBSTITUTE($R$1,"'","''") &amp; "'!B328"), "")</f>
        <v>33.270000000000003</v>
      </c>
      <c r="S94">
        <f ca="1">IFERROR(INDIRECT("'" &amp; SUBSTITUTE($R$1,"'","''") &amp; "'!C328"), "")</f>
        <v>62</v>
      </c>
      <c r="T94">
        <f ca="1">IFERROR(INDIRECT("'" &amp; SUBSTITUTE($T$1,"'","''") &amp; "'!B328"), "")</f>
        <v>38.96</v>
      </c>
      <c r="U94">
        <f ca="1">IFERROR(INDIRECT("'" &amp; SUBSTITUTE($T$1,"'","''") &amp; "'!C328"), "")</f>
        <v>83</v>
      </c>
      <c r="V94">
        <f ca="1">IFERROR(INDIRECT("'" &amp; SUBSTITUTE($V$1,"'","''") &amp; "'!B328"), "")</f>
        <v>38.020000000000003</v>
      </c>
      <c r="W94">
        <f ca="1">IFERROR(INDIRECT("'" &amp; SUBSTITUTE($V$1,"'","''") &amp; "'!C328"), "")</f>
        <v>76</v>
      </c>
      <c r="X94">
        <f ca="1">IFERROR(INDIRECT("'" &amp; SUBSTITUTE($X$1,"'","''") &amp; "'!B328"), "")</f>
        <v>25.02</v>
      </c>
      <c r="Y94">
        <f ca="1">IFERROR(INDIRECT("'" &amp; SUBSTITUTE($X$1,"'","''") &amp; "'!C328"), "")</f>
        <v>33</v>
      </c>
    </row>
    <row r="95" spans="1:25" x14ac:dyDescent="0.2">
      <c r="A95" t="s">
        <v>93</v>
      </c>
      <c r="B95">
        <f ca="1">IFERROR(INDIRECT("'" &amp; SUBSTITUTE($B$1,"'","''") &amp; "'!B331"), "")</f>
        <v>11.01</v>
      </c>
      <c r="C95">
        <f ca="1">IFERROR(INDIRECT("'" &amp; SUBSTITUTE($B$1,"'","''") &amp; "'!C331"), "")</f>
        <v>36</v>
      </c>
      <c r="D95">
        <f ca="1">IFERROR(INDIRECT("'" &amp; SUBSTITUTE($D$1,"'","''") &amp; "'!B331"), "")</f>
        <v>15.63</v>
      </c>
      <c r="E95">
        <f ca="1">IFERROR(INDIRECT("'" &amp; SUBSTITUTE($D$1,"'","''") &amp; "'!C331"), "")</f>
        <v>67</v>
      </c>
      <c r="F95">
        <f ca="1">IFERROR(INDIRECT("'" &amp; SUBSTITUTE($F$1,"'","''") &amp; "'!B331"), "")</f>
        <v>17.86</v>
      </c>
      <c r="G95">
        <f ca="1">IFERROR(INDIRECT("'" &amp; SUBSTITUTE($F$1,"'","''") &amp; "'!C331"), "")</f>
        <v>78</v>
      </c>
      <c r="H95">
        <f ca="1">IFERROR(INDIRECT("'" &amp; SUBSTITUTE($H$1,"'","''") &amp; "'!B331"), "")</f>
        <v>5.57</v>
      </c>
      <c r="I95">
        <f ca="1">IFERROR(INDIRECT("'" &amp; SUBSTITUTE($H$1,"'","''") &amp; "'!C331"), "")</f>
        <v>2</v>
      </c>
      <c r="J95">
        <f ca="1">IFERROR(INDIRECT("'" &amp; SUBSTITUTE($J$1,"'","''") &amp; "'!B331"), "")</f>
        <v>4.09</v>
      </c>
      <c r="K95">
        <f ca="1">IFERROR(INDIRECT("'" &amp; SUBSTITUTE($J$1,"'","''") &amp; "'!C331"), "")</f>
        <v>63</v>
      </c>
      <c r="L95">
        <f ca="1">IFERROR(INDIRECT("'" &amp; SUBSTITUTE($L$1,"'","''") &amp; "'!B331"), "")</f>
        <v>13.4</v>
      </c>
      <c r="M95">
        <f ca="1">IFERROR(INDIRECT("'" &amp; SUBSTITUTE($L$1,"'","''") &amp; "'!C331"), "")</f>
        <v>36</v>
      </c>
      <c r="N95">
        <f ca="1">IFERROR(INDIRECT("'" &amp; SUBSTITUTE($N$1,"'","''") &amp; "'!B331"), "")</f>
        <v>9.34</v>
      </c>
      <c r="O95">
        <f ca="1">IFERROR(INDIRECT("'" &amp; SUBSTITUTE($N$1,"'","''") &amp; "'!C331"), "")</f>
        <v>9</v>
      </c>
      <c r="P95">
        <f ca="1">IFERROR(INDIRECT("'" &amp; SUBSTITUTE($P$1,"'","''") &amp; "'!B331"), "")</f>
        <v>14.48</v>
      </c>
      <c r="Q95">
        <f ca="1">IFERROR(INDIRECT("'" &amp; SUBSTITUTE($P$1,"'","''") &amp; "'!C331"), "")</f>
        <v>50</v>
      </c>
      <c r="R95">
        <f ca="1">IFERROR(INDIRECT("'" &amp; SUBSTITUTE($R$1,"'","''") &amp; "'!B331"), "")</f>
        <v>16.43</v>
      </c>
      <c r="S95">
        <f ca="1">IFERROR(INDIRECT("'" &amp; SUBSTITUTE($R$1,"'","''") &amp; "'!C331"), "")</f>
        <v>60</v>
      </c>
      <c r="T95">
        <f ca="1">IFERROR(INDIRECT("'" &amp; SUBSTITUTE($T$1,"'","''") &amp; "'!B331"), "")</f>
        <v>11.75</v>
      </c>
      <c r="U95">
        <f ca="1">IFERROR(INDIRECT("'" &amp; SUBSTITUTE($T$1,"'","''") &amp; "'!C331"), "")</f>
        <v>36</v>
      </c>
      <c r="V95">
        <f ca="1">IFERROR(INDIRECT("'" &amp; SUBSTITUTE($V$1,"'","''") &amp; "'!B331"), "")</f>
        <v>9.7799999999999994</v>
      </c>
      <c r="W95">
        <f ca="1">IFERROR(INDIRECT("'" &amp; SUBSTITUTE($V$1,"'","''") &amp; "'!C331"), "")</f>
        <v>13</v>
      </c>
      <c r="X95">
        <f ca="1">IFERROR(INDIRECT("'" &amp; SUBSTITUTE($X$1,"'","''") &amp; "'!B331"), "")</f>
        <v>9.3699999999999992</v>
      </c>
      <c r="Y95">
        <f ca="1">IFERROR(INDIRECT("'" &amp; SUBSTITUTE($X$1,"'","''") &amp; "'!C331"), "")</f>
        <v>14</v>
      </c>
    </row>
    <row r="96" spans="1:25" x14ac:dyDescent="0.2">
      <c r="A96" t="s">
        <v>94</v>
      </c>
      <c r="B96">
        <f ca="1">IFERROR(INDIRECT("'" &amp; SUBSTITUTE($B$1,"'","''") &amp; "'!B334"), "")</f>
        <v>3.05</v>
      </c>
      <c r="C96">
        <f ca="1">IFERROR(INDIRECT("'" &amp; SUBSTITUTE($B$1,"'","''") &amp; "'!C334"), "")</f>
        <v>93</v>
      </c>
      <c r="D96">
        <f ca="1">IFERROR(INDIRECT("'" &amp; SUBSTITUTE($D$1,"'","''") &amp; "'!B334"), "")</f>
        <v>1.51</v>
      </c>
      <c r="E96">
        <f ca="1">IFERROR(INDIRECT("'" &amp; SUBSTITUTE($D$1,"'","''") &amp; "'!C334"), "")</f>
        <v>64</v>
      </c>
      <c r="F96">
        <f ca="1">IFERROR(INDIRECT("'" &amp; SUBSTITUTE($F$1,"'","''") &amp; "'!B334"), "")</f>
        <v>2.46</v>
      </c>
      <c r="G96">
        <f ca="1">IFERROR(INDIRECT("'" &amp; SUBSTITUTE($F$1,"'","''") &amp; "'!C334"), "")</f>
        <v>88</v>
      </c>
      <c r="H96">
        <f ca="1">IFERROR(INDIRECT("'" &amp; SUBSTITUTE($H$1,"'","''") &amp; "'!B334"), "")</f>
        <v>0.13</v>
      </c>
      <c r="I96">
        <f ca="1">IFERROR(INDIRECT("'" &amp; SUBSTITUTE($H$1,"'","''") &amp; "'!C334"), "")</f>
        <v>2</v>
      </c>
      <c r="J96">
        <f ca="1">IFERROR(INDIRECT("'" &amp; SUBSTITUTE($J$1,"'","''") &amp; "'!B334"), "")</f>
        <v>1.23</v>
      </c>
      <c r="K96">
        <f ca="1">IFERROR(INDIRECT("'" &amp; SUBSTITUTE($J$1,"'","''") &amp; "'!C334"), "")</f>
        <v>80</v>
      </c>
      <c r="L96">
        <f ca="1">IFERROR(INDIRECT("'" &amp; SUBSTITUTE($L$1,"'","''") &amp; "'!B334"), "")</f>
        <v>0.44</v>
      </c>
      <c r="M96">
        <f ca="1">IFERROR(INDIRECT("'" &amp; SUBSTITUTE($L$1,"'","''") &amp; "'!C334"), "")</f>
        <v>9</v>
      </c>
      <c r="N96">
        <f ca="1">IFERROR(INDIRECT("'" &amp; SUBSTITUTE($N$1,"'","''") &amp; "'!B334"), "")</f>
        <v>1.55</v>
      </c>
      <c r="O96">
        <f ca="1">IFERROR(INDIRECT("'" &amp; SUBSTITUTE($N$1,"'","''") &amp; "'!C334"), "")</f>
        <v>48</v>
      </c>
      <c r="P96">
        <f ca="1">IFERROR(INDIRECT("'" &amp; SUBSTITUTE($P$1,"'","''") &amp; "'!B334"), "")</f>
        <v>1.9</v>
      </c>
      <c r="Q96">
        <f ca="1">IFERROR(INDIRECT("'" &amp; SUBSTITUTE($P$1,"'","''") &amp; "'!C334"), "")</f>
        <v>56</v>
      </c>
      <c r="R96">
        <f ca="1">IFERROR(INDIRECT("'" &amp; SUBSTITUTE($R$1,"'","''") &amp; "'!B334"), "")</f>
        <v>0.76</v>
      </c>
      <c r="S96">
        <f ca="1">IFERROR(INDIRECT("'" &amp; SUBSTITUTE($R$1,"'","''") &amp; "'!C334"), "")</f>
        <v>31</v>
      </c>
      <c r="T96">
        <f ca="1">IFERROR(INDIRECT("'" &amp; SUBSTITUTE($T$1,"'","''") &amp; "'!B334"), "")</f>
        <v>0.75</v>
      </c>
      <c r="U96">
        <f ca="1">IFERROR(INDIRECT("'" &amp; SUBSTITUTE($T$1,"'","''") &amp; "'!C334"), "")</f>
        <v>30</v>
      </c>
      <c r="V96">
        <f ca="1">IFERROR(INDIRECT("'" &amp; SUBSTITUTE($V$1,"'","''") &amp; "'!B334"), "")</f>
        <v>0.33</v>
      </c>
      <c r="W96">
        <f ca="1">IFERROR(INDIRECT("'" &amp; SUBSTITUTE($V$1,"'","''") &amp; "'!C334"), "")</f>
        <v>5</v>
      </c>
      <c r="X96">
        <f ca="1">IFERROR(INDIRECT("'" &amp; SUBSTITUTE($X$1,"'","''") &amp; "'!B334"), "")</f>
        <v>1.52</v>
      </c>
      <c r="Y96">
        <f ca="1">IFERROR(INDIRECT("'" &amp; SUBSTITUTE($X$1,"'","''") &amp; "'!C334"), "")</f>
        <v>50</v>
      </c>
    </row>
    <row r="97" spans="1:25" x14ac:dyDescent="0.2">
      <c r="A97" t="s">
        <v>95</v>
      </c>
      <c r="B97">
        <f ca="1">IFERROR(INDIRECT("'" &amp; SUBSTITUTE($B$1,"'","''") &amp; "'!B337"), "")</f>
        <v>31.47</v>
      </c>
      <c r="C97">
        <f ca="1">IFERROR(INDIRECT("'" &amp; SUBSTITUTE($B$1,"'","''") &amp; "'!C337"), "")</f>
        <v>1</v>
      </c>
      <c r="D97">
        <f ca="1">IFERROR(INDIRECT("'" &amp; SUBSTITUTE($D$1,"'","''") &amp; "'!B337"), "")</f>
        <v>63.99</v>
      </c>
      <c r="E97">
        <f ca="1">IFERROR(INDIRECT("'" &amp; SUBSTITUTE($D$1,"'","''") &amp; "'!C337"), "")</f>
        <v>64</v>
      </c>
      <c r="F97">
        <f ca="1">IFERROR(INDIRECT("'" &amp; SUBSTITUTE($F$1,"'","''") &amp; "'!B337"), "")</f>
        <v>48.68</v>
      </c>
      <c r="G97">
        <f ca="1">IFERROR(INDIRECT("'" &amp; SUBSTITUTE($F$1,"'","''") &amp; "'!C337"), "")</f>
        <v>16</v>
      </c>
      <c r="H97">
        <f ca="1">IFERROR(INDIRECT("'" &amp; SUBSTITUTE($H$1,"'","''") &amp; "'!B337"), "")</f>
        <v>58.82</v>
      </c>
      <c r="I97">
        <f ca="1">IFERROR(INDIRECT("'" &amp; SUBSTITUTE($H$1,"'","''") &amp; "'!C337"), "")</f>
        <v>47</v>
      </c>
      <c r="J97">
        <f ca="1">IFERROR(INDIRECT("'" &amp; SUBSTITUTE($J$1,"'","''") &amp; "'!B337"), "")</f>
        <v>79</v>
      </c>
      <c r="K97">
        <f ca="1">IFERROR(INDIRECT("'" &amp; SUBSTITUTE($J$1,"'","''") &amp; "'!C337"), "")</f>
        <v>83</v>
      </c>
      <c r="L97">
        <f ca="1">IFERROR(INDIRECT("'" &amp; SUBSTITUTE($L$1,"'","''") &amp; "'!B337"), "")</f>
        <v>78.14</v>
      </c>
      <c r="M97">
        <f ca="1">IFERROR(INDIRECT("'" &amp; SUBSTITUTE($L$1,"'","''") &amp; "'!C337"), "")</f>
        <v>86</v>
      </c>
      <c r="N97">
        <f ca="1">IFERROR(INDIRECT("'" &amp; SUBSTITUTE($N$1,"'","''") &amp; "'!B337"), "")</f>
        <v>55.1</v>
      </c>
      <c r="O97">
        <f ca="1">IFERROR(INDIRECT("'" &amp; SUBSTITUTE($N$1,"'","''") &amp; "'!C337"), "")</f>
        <v>45</v>
      </c>
      <c r="P97">
        <f ca="1">IFERROR(INDIRECT("'" &amp; SUBSTITUTE($P$1,"'","''") &amp; "'!B337"), "")</f>
        <v>49.4</v>
      </c>
      <c r="Q97">
        <f ca="1">IFERROR(INDIRECT("'" &amp; SUBSTITUTE($P$1,"'","''") &amp; "'!C337"), "")</f>
        <v>26</v>
      </c>
      <c r="R97">
        <f ca="1">IFERROR(INDIRECT("'" &amp; SUBSTITUTE($R$1,"'","''") &amp; "'!B337"), "")</f>
        <v>61.58</v>
      </c>
      <c r="S97">
        <f ca="1">IFERROR(INDIRECT("'" &amp; SUBSTITUTE($R$1,"'","''") &amp; "'!C337"), "")</f>
        <v>65</v>
      </c>
      <c r="T97">
        <f ca="1">IFERROR(INDIRECT("'" &amp; SUBSTITUTE($T$1,"'","''") &amp; "'!B337"), "")</f>
        <v>74.02</v>
      </c>
      <c r="U97">
        <f ca="1">IFERROR(INDIRECT("'" &amp; SUBSTITUTE($T$1,"'","''") &amp; "'!C337"), "")</f>
        <v>88</v>
      </c>
      <c r="V97">
        <f ca="1">IFERROR(INDIRECT("'" &amp; SUBSTITUTE($V$1,"'","''") &amp; "'!B337"), "")</f>
        <v>61.1</v>
      </c>
      <c r="W97">
        <f ca="1">IFERROR(INDIRECT("'" &amp; SUBSTITUTE($V$1,"'","''") &amp; "'!C337"), "")</f>
        <v>63</v>
      </c>
      <c r="X97">
        <f ca="1">IFERROR(INDIRECT("'" &amp; SUBSTITUTE($X$1,"'","''") &amp; "'!B337"), "")</f>
        <v>47.26</v>
      </c>
      <c r="Y97">
        <f ca="1">IFERROR(INDIRECT("'" &amp; SUBSTITUTE($X$1,"'","''") &amp; "'!C337"), "")</f>
        <v>23</v>
      </c>
    </row>
    <row r="98" spans="1:25" x14ac:dyDescent="0.2">
      <c r="A98" t="s">
        <v>96</v>
      </c>
      <c r="B98">
        <f ca="1">IFERROR(INDIRECT("'" &amp; SUBSTITUTE($B$1,"'","''") &amp; "'!B341"), "")</f>
        <v>0.88</v>
      </c>
      <c r="C98">
        <f ca="1">IFERROR(INDIRECT("'" &amp; SUBSTITUTE($B$1,"'","''") &amp; "'!C341"), "")</f>
        <v>32</v>
      </c>
      <c r="D98">
        <f ca="1">IFERROR(INDIRECT("'" &amp; SUBSTITUTE($D$1,"'","''") &amp; "'!B341"), "")</f>
        <v>2.12</v>
      </c>
      <c r="E98">
        <f ca="1">IFERROR(INDIRECT("'" &amp; SUBSTITUTE($D$1,"'","''") &amp; "'!C341"), "")</f>
        <v>83</v>
      </c>
      <c r="F98">
        <f ca="1">IFERROR(INDIRECT("'" &amp; SUBSTITUTE($F$1,"'","''") &amp; "'!B341"), "")</f>
        <v>2.93</v>
      </c>
      <c r="G98">
        <f ca="1">IFERROR(INDIRECT("'" &amp; SUBSTITUTE($F$1,"'","''") &amp; "'!C341"), "")</f>
        <v>96</v>
      </c>
      <c r="H98">
        <f ca="1">IFERROR(INDIRECT("'" &amp; SUBSTITUTE($H$1,"'","''") &amp; "'!B341"), "")</f>
        <v>1.25</v>
      </c>
      <c r="I98">
        <f ca="1">IFERROR(INDIRECT("'" &amp; SUBSTITUTE($H$1,"'","''") &amp; "'!C341"), "")</f>
        <v>49</v>
      </c>
      <c r="J98">
        <f ca="1">IFERROR(INDIRECT("'" &amp; SUBSTITUTE($J$1,"'","''") &amp; "'!B341"), "")</f>
        <v>0.4</v>
      </c>
      <c r="K98">
        <f ca="1">IFERROR(INDIRECT("'" &amp; SUBSTITUTE($J$1,"'","''") &amp; "'!C341"), "")</f>
        <v>62</v>
      </c>
      <c r="L98">
        <f ca="1">IFERROR(INDIRECT("'" &amp; SUBSTITUTE($L$1,"'","''") &amp; "'!B341"), "")</f>
        <v>0.22</v>
      </c>
      <c r="M98">
        <f ca="1">IFERROR(INDIRECT("'" &amp; SUBSTITUTE($L$1,"'","''") &amp; "'!C341"), "")</f>
        <v>2</v>
      </c>
      <c r="N98">
        <f ca="1">IFERROR(INDIRECT("'" &amp; SUBSTITUTE($N$1,"'","''") &amp; "'!B341"), "")</f>
        <v>1.39</v>
      </c>
      <c r="O98">
        <f ca="1">IFERROR(INDIRECT("'" &amp; SUBSTITUTE($N$1,"'","''") &amp; "'!C341"), "")</f>
        <v>44</v>
      </c>
      <c r="P98">
        <f ca="1">IFERROR(INDIRECT("'" &amp; SUBSTITUTE($P$1,"'","''") &amp; "'!B341"), "")</f>
        <v>3.1</v>
      </c>
      <c r="Q98">
        <f ca="1">IFERROR(INDIRECT("'" &amp; SUBSTITUTE($P$1,"'","''") &amp; "'!C341"), "")</f>
        <v>87</v>
      </c>
      <c r="R98">
        <f ca="1">IFERROR(INDIRECT("'" &amp; SUBSTITUTE($R$1,"'","''") &amp; "'!B341"), "")</f>
        <v>0.76</v>
      </c>
      <c r="S98">
        <f ca="1">IFERROR(INDIRECT("'" &amp; SUBSTITUTE($R$1,"'","''") &amp; "'!C341"), "")</f>
        <v>14</v>
      </c>
      <c r="T98">
        <f ca="1">IFERROR(INDIRECT("'" &amp; SUBSTITUTE($T$1,"'","''") &amp; "'!B341"), "")</f>
        <v>0.95</v>
      </c>
      <c r="U98">
        <f ca="1">IFERROR(INDIRECT("'" &amp; SUBSTITUTE($T$1,"'","''") &amp; "'!C341"), "")</f>
        <v>23</v>
      </c>
      <c r="V98">
        <f ca="1">IFERROR(INDIRECT("'" &amp; SUBSTITUTE($V$1,"'","''") &amp; "'!B341"), "")</f>
        <v>1.65</v>
      </c>
      <c r="W98">
        <f ca="1">IFERROR(INDIRECT("'" &amp; SUBSTITUTE($V$1,"'","''") &amp; "'!C341"), "")</f>
        <v>55</v>
      </c>
      <c r="X98">
        <f ca="1">IFERROR(INDIRECT("'" &amp; SUBSTITUTE($X$1,"'","''") &amp; "'!B341"), "")</f>
        <v>0.46</v>
      </c>
      <c r="Y98">
        <f ca="1">IFERROR(INDIRECT("'" &amp; SUBSTITUTE($X$1,"'","''") &amp; "'!C341"), "")</f>
        <v>6</v>
      </c>
    </row>
    <row r="99" spans="1:25" x14ac:dyDescent="0.2">
      <c r="A99" t="s">
        <v>97</v>
      </c>
      <c r="B99">
        <f ca="1">IFERROR(INDIRECT("'" &amp; SUBSTITUTE($B$1,"'","''") &amp; "'!B344"), "")</f>
        <v>0.36</v>
      </c>
      <c r="C99">
        <f ca="1">IFERROR(INDIRECT("'" &amp; SUBSTITUTE($B$1,"'","''") &amp; "'!C344"), "")</f>
        <v>24</v>
      </c>
      <c r="D99">
        <f ca="1">IFERROR(INDIRECT("'" &amp; SUBSTITUTE($D$1,"'","''") &amp; "'!B344"), "")</f>
        <v>0.91</v>
      </c>
      <c r="E99">
        <f ca="1">IFERROR(INDIRECT("'" &amp; SUBSTITUTE($D$1,"'","''") &amp; "'!C344"), "")</f>
        <v>78</v>
      </c>
      <c r="F99">
        <f ca="1">IFERROR(INDIRECT("'" &amp; SUBSTITUTE($F$1,"'","''") &amp; "'!B344"), "")</f>
        <v>1.1000000000000001</v>
      </c>
      <c r="G99">
        <f ca="1">IFERROR(INDIRECT("'" &amp; SUBSTITUTE($F$1,"'","''") &amp; "'!C344"), "")</f>
        <v>86</v>
      </c>
      <c r="H99">
        <f ca="1">IFERROR(INDIRECT("'" &amp; SUBSTITUTE($H$1,"'","''") &amp; "'!B344"), "")</f>
        <v>0.54</v>
      </c>
      <c r="I99">
        <f ca="1">IFERROR(INDIRECT("'" &amp; SUBSTITUTE($H$1,"'","''") &amp; "'!C344"), "")</f>
        <v>47</v>
      </c>
      <c r="J99">
        <f ca="1">IFERROR(INDIRECT("'" &amp; SUBSTITUTE($J$1,"'","''") &amp; "'!B344"), "")</f>
        <v>0.26</v>
      </c>
      <c r="K99">
        <f ca="1">IFERROR(INDIRECT("'" &amp; SUBSTITUTE($J$1,"'","''") &amp; "'!C344"), "")</f>
        <v>71</v>
      </c>
      <c r="L99">
        <f ca="1">IFERROR(INDIRECT("'" &amp; SUBSTITUTE($L$1,"'","''") &amp; "'!B344"), "")</f>
        <v>7.0000000000000007E-2</v>
      </c>
      <c r="M99">
        <f ca="1">IFERROR(INDIRECT("'" &amp; SUBSTITUTE($L$1,"'","''") &amp; "'!C344"), "")</f>
        <v>2</v>
      </c>
      <c r="N99">
        <f ca="1">IFERROR(INDIRECT("'" &amp; SUBSTITUTE($N$1,"'","''") &amp; "'!B344"), "")</f>
        <v>0.76</v>
      </c>
      <c r="O99">
        <f ca="1">IFERROR(INDIRECT("'" &amp; SUBSTITUTE($N$1,"'","''") &amp; "'!C344"), "")</f>
        <v>49</v>
      </c>
      <c r="P99">
        <f ca="1">IFERROR(INDIRECT("'" &amp; SUBSTITUTE($P$1,"'","''") &amp; "'!B344"), "")</f>
        <v>1.61</v>
      </c>
      <c r="Q99">
        <f ca="1">IFERROR(INDIRECT("'" &amp; SUBSTITUTE($P$1,"'","''") &amp; "'!C344"), "")</f>
        <v>90</v>
      </c>
      <c r="R99">
        <f ca="1">IFERROR(INDIRECT("'" &amp; SUBSTITUTE($R$1,"'","''") &amp; "'!B344"), "")</f>
        <v>0.4</v>
      </c>
      <c r="S99">
        <f ca="1">IFERROR(INDIRECT("'" &amp; SUBSTITUTE($R$1,"'","''") &amp; "'!C344"), "")</f>
        <v>19</v>
      </c>
      <c r="T99">
        <f ca="1">IFERROR(INDIRECT("'" &amp; SUBSTITUTE($T$1,"'","''") &amp; "'!B344"), "")</f>
        <v>0.6</v>
      </c>
      <c r="U99">
        <f ca="1">IFERROR(INDIRECT("'" &amp; SUBSTITUTE($T$1,"'","''") &amp; "'!C344"), "")</f>
        <v>29</v>
      </c>
      <c r="V99">
        <f ca="1">IFERROR(INDIRECT("'" &amp; SUBSTITUTE($V$1,"'","''") &amp; "'!B344"), "")</f>
        <v>1.1000000000000001</v>
      </c>
      <c r="W99">
        <f ca="1">IFERROR(INDIRECT("'" &amp; SUBSTITUTE($V$1,"'","''") &amp; "'!C344"), "")</f>
        <v>71</v>
      </c>
      <c r="X99">
        <f ca="1">IFERROR(INDIRECT("'" &amp; SUBSTITUTE($X$1,"'","''") &amp; "'!B344"), "")</f>
        <v>0.23</v>
      </c>
      <c r="Y99">
        <f ca="1">IFERROR(INDIRECT("'" &amp; SUBSTITUTE($X$1,"'","''") &amp; "'!C344"), "")</f>
        <v>3</v>
      </c>
    </row>
    <row r="100" spans="1:25" x14ac:dyDescent="0.2">
      <c r="A100" t="s">
        <v>98</v>
      </c>
      <c r="B100">
        <f ca="1">IFERROR(INDIRECT("'" &amp; SUBSTITUTE($B$1,"'","''") &amp; "'!B347"), "")</f>
        <v>0.40699999999999997</v>
      </c>
      <c r="C100">
        <f ca="1">IFERROR(INDIRECT("'" &amp; SUBSTITUTE($B$1,"'","''") &amp; "'!C347"), "")</f>
        <v>30</v>
      </c>
      <c r="D100">
        <f ca="1">IFERROR(INDIRECT("'" &amp; SUBSTITUTE($D$1,"'","''") &amp; "'!B347"), "")</f>
        <v>0.42899999999999999</v>
      </c>
      <c r="E100">
        <f ca="1">IFERROR(INDIRECT("'" &amp; SUBSTITUTE($D$1,"'","''") &amp; "'!C347"), "")</f>
        <v>37</v>
      </c>
      <c r="F100">
        <f ca="1">IFERROR(INDIRECT("'" &amp; SUBSTITUTE($F$1,"'","''") &amp; "'!B347"), "")</f>
        <v>0.375</v>
      </c>
      <c r="G100">
        <f ca="1">IFERROR(INDIRECT("'" &amp; SUBSTITUTE($F$1,"'","''") &amp; "'!C347"), "")</f>
        <v>20</v>
      </c>
      <c r="H100">
        <f ca="1">IFERROR(INDIRECT("'" &amp; SUBSTITUTE($H$1,"'","''") &amp; "'!B347"), "")</f>
        <v>0.436</v>
      </c>
      <c r="I100">
        <f ca="1">IFERROR(INDIRECT("'" &amp; SUBSTITUTE($H$1,"'","''") &amp; "'!C347"), "")</f>
        <v>39</v>
      </c>
      <c r="J100">
        <f ca="1">IFERROR(INDIRECT("'" &amp; SUBSTITUTE($J$1,"'","''") &amp; "'!B347"), "")</f>
        <v>0.64300000000000002</v>
      </c>
      <c r="K100">
        <f ca="1">IFERROR(INDIRECT("'" &amp; SUBSTITUTE($J$1,"'","''") &amp; "'!C347"), "")</f>
        <v>66</v>
      </c>
      <c r="L100">
        <f ca="1">IFERROR(INDIRECT("'" &amp; SUBSTITUTE($L$1,"'","''") &amp; "'!B347"), "")</f>
        <v>0.33300000000000002</v>
      </c>
      <c r="M100">
        <f ca="1">IFERROR(INDIRECT("'" &amp; SUBSTITUTE($L$1,"'","''") &amp; "'!C347"), "")</f>
        <v>6</v>
      </c>
      <c r="N100">
        <f ca="1">IFERROR(INDIRECT("'" &amp; SUBSTITUTE($N$1,"'","''") &amp; "'!B347"), "")</f>
        <v>0.54300000000000004</v>
      </c>
      <c r="O100">
        <f ca="1">IFERROR(INDIRECT("'" &amp; SUBSTITUTE($N$1,"'","''") &amp; "'!C347"), "")</f>
        <v>74</v>
      </c>
      <c r="P100">
        <f ca="1">IFERROR(INDIRECT("'" &amp; SUBSTITUTE($P$1,"'","''") &amp; "'!B347"), "")</f>
        <v>0.51800000000000002</v>
      </c>
      <c r="Q100">
        <f ca="1">IFERROR(INDIRECT("'" &amp; SUBSTITUTE($P$1,"'","''") &amp; "'!C347"), "")</f>
        <v>55</v>
      </c>
      <c r="R100">
        <f ca="1">IFERROR(INDIRECT("'" &amp; SUBSTITUTE($R$1,"'","''") &amp; "'!B347"), "")</f>
        <v>0.53300000000000003</v>
      </c>
      <c r="S100">
        <f ca="1">IFERROR(INDIRECT("'" &amp; SUBSTITUTE($R$1,"'","''") &amp; "'!C347"), "")</f>
        <v>61</v>
      </c>
      <c r="T100">
        <f ca="1">IFERROR(INDIRECT("'" &amp; SUBSTITUTE($T$1,"'","''") &amp; "'!B347"), "")</f>
        <v>0.625</v>
      </c>
      <c r="U100">
        <f ca="1">IFERROR(INDIRECT("'" &amp; SUBSTITUTE($T$1,"'","''") &amp; "'!C347"), "")</f>
        <v>83</v>
      </c>
      <c r="V100">
        <f ca="1">IFERROR(INDIRECT("'" &amp; SUBSTITUTE($V$1,"'","''") &amp; "'!B347"), "")</f>
        <v>0.66700000000000004</v>
      </c>
      <c r="W100">
        <f ca="1">IFERROR(INDIRECT("'" &amp; SUBSTITUTE($V$1,"'","''") &amp; "'!C347"), "")</f>
        <v>95</v>
      </c>
      <c r="X100">
        <f ca="1">IFERROR(INDIRECT("'" &amp; SUBSTITUTE($X$1,"'","''") &amp; "'!B347"), "")</f>
        <v>0.5</v>
      </c>
      <c r="Y100">
        <f ca="1">IFERROR(INDIRECT("'" &amp; SUBSTITUTE($X$1,"'","''") &amp; "'!C347"), "")</f>
        <v>18</v>
      </c>
    </row>
    <row r="101" spans="1:25" x14ac:dyDescent="0.2">
      <c r="A101" t="s">
        <v>99</v>
      </c>
      <c r="B101">
        <f ca="1">IFERROR(INDIRECT("'" &amp; SUBSTITUTE($B$1,"'","''") &amp; "'!B350"), "")</f>
        <v>0.45</v>
      </c>
      <c r="C101">
        <f ca="1">IFERROR(INDIRECT("'" &amp; SUBSTITUTE($B$1,"'","''") &amp; "'!C350"), "")</f>
        <v>55</v>
      </c>
      <c r="D101">
        <f ca="1">IFERROR(INDIRECT("'" &amp; SUBSTITUTE($D$1,"'","''") &amp; "'!B350"), "")</f>
        <v>1</v>
      </c>
      <c r="E101">
        <f ca="1">IFERROR(INDIRECT("'" &amp; SUBSTITUTE($D$1,"'","''") &amp; "'!C350"), "")</f>
        <v>16</v>
      </c>
      <c r="F101">
        <f ca="1">IFERROR(INDIRECT("'" &amp; SUBSTITUTE($F$1,"'","''") &amp; "'!B350"), "")</f>
        <v>1.1000000000000001</v>
      </c>
      <c r="G101">
        <f ca="1">IFERROR(INDIRECT("'" &amp; SUBSTITUTE($F$1,"'","''") &amp; "'!C350"), "")</f>
        <v>11</v>
      </c>
      <c r="H101">
        <f ca="1">IFERROR(INDIRECT("'" &amp; SUBSTITUTE($H$1,"'","''") &amp; "'!B350"), "")</f>
        <v>0.48</v>
      </c>
      <c r="I101">
        <f ca="1">IFERROR(INDIRECT("'" &amp; SUBSTITUTE($H$1,"'","''") &amp; "'!C350"), "")</f>
        <v>52</v>
      </c>
      <c r="J101">
        <f ca="1">IFERROR(INDIRECT("'" &amp; SUBSTITUTE($J$1,"'","''") &amp; "'!B350"), "")</f>
        <v>0.11</v>
      </c>
      <c r="K101">
        <f ca="1">IFERROR(INDIRECT("'" &amp; SUBSTITUTE($J$1,"'","''") &amp; "'!C350"), "")</f>
        <v>44</v>
      </c>
      <c r="L101">
        <f ca="1">IFERROR(INDIRECT("'" &amp; SUBSTITUTE($L$1,"'","''") &amp; "'!B350"), "")</f>
        <v>7.0000000000000007E-2</v>
      </c>
      <c r="M101">
        <f ca="1">IFERROR(INDIRECT("'" &amp; SUBSTITUTE($L$1,"'","''") &amp; "'!C350"), "")</f>
        <v>98</v>
      </c>
      <c r="N101">
        <f ca="1">IFERROR(INDIRECT("'" &amp; SUBSTITUTE($N$1,"'","''") &amp; "'!B350"), "")</f>
        <v>0.57999999999999996</v>
      </c>
      <c r="O101">
        <f ca="1">IFERROR(INDIRECT("'" &amp; SUBSTITUTE($N$1,"'","''") &amp; "'!C350"), "")</f>
        <v>47</v>
      </c>
      <c r="P101">
        <f ca="1">IFERROR(INDIRECT("'" &amp; SUBSTITUTE($P$1,"'","''") &amp; "'!B350"), "")</f>
        <v>1.02</v>
      </c>
      <c r="Q101">
        <f ca="1">IFERROR(INDIRECT("'" &amp; SUBSTITUTE($P$1,"'","''") &amp; "'!C350"), "")</f>
        <v>20</v>
      </c>
      <c r="R101">
        <f ca="1">IFERROR(INDIRECT("'" &amp; SUBSTITUTE($R$1,"'","''") &amp; "'!B350"), "")</f>
        <v>0.35</v>
      </c>
      <c r="S101">
        <f ca="1">IFERROR(INDIRECT("'" &amp; SUBSTITUTE($R$1,"'","''") &amp; "'!C350"), "")</f>
        <v>71</v>
      </c>
      <c r="T101">
        <f ca="1">IFERROR(INDIRECT("'" &amp; SUBSTITUTE($T$1,"'","''") &amp; "'!B350"), "")</f>
        <v>0.27</v>
      </c>
      <c r="U101">
        <f ca="1">IFERROR(INDIRECT("'" &amp; SUBSTITUTE($T$1,"'","''") &amp; "'!C350"), "")</f>
        <v>82</v>
      </c>
      <c r="V101">
        <f ca="1">IFERROR(INDIRECT("'" &amp; SUBSTITUTE($V$1,"'","''") &amp; "'!B350"), "")</f>
        <v>0.44</v>
      </c>
      <c r="W101">
        <f ca="1">IFERROR(INDIRECT("'" &amp; SUBSTITUTE($V$1,"'","''") &amp; "'!C350"), "")</f>
        <v>68</v>
      </c>
      <c r="X101">
        <f ca="1">IFERROR(INDIRECT("'" &amp; SUBSTITUTE($X$1,"'","''") &amp; "'!B350"), "")</f>
        <v>0.23</v>
      </c>
      <c r="Y101">
        <f ca="1">IFERROR(INDIRECT("'" &amp; SUBSTITUTE($X$1,"'","''") &amp; "'!C350"), "")</f>
        <v>85</v>
      </c>
    </row>
    <row r="102" spans="1:25" x14ac:dyDescent="0.2">
      <c r="A102" t="s">
        <v>100</v>
      </c>
      <c r="B102">
        <f ca="1">IFERROR(INDIRECT("'" &amp; SUBSTITUTE($B$1,"'","''") &amp; "'!B353"), "")</f>
        <v>0.51900000000000002</v>
      </c>
      <c r="C102">
        <f ca="1">IFERROR(INDIRECT("'" &amp; SUBSTITUTE($B$1,"'","''") &amp; "'!C353"), "")</f>
        <v>21</v>
      </c>
      <c r="D102">
        <f ca="1">IFERROR(INDIRECT("'" &amp; SUBSTITUTE($D$1,"'","''") &amp; "'!B353"), "")</f>
        <v>0.47099999999999997</v>
      </c>
      <c r="E102">
        <f ca="1">IFERROR(INDIRECT("'" &amp; SUBSTITUTE($D$1,"'","''") &amp; "'!C353"), "")</f>
        <v>34</v>
      </c>
      <c r="F102">
        <f ca="1">IFERROR(INDIRECT("'" &amp; SUBSTITUTE($F$1,"'","''") &amp; "'!B353"), "")</f>
        <v>0.375</v>
      </c>
      <c r="G102">
        <f ca="1">IFERROR(INDIRECT("'" &amp; SUBSTITUTE($F$1,"'","''") &amp; "'!C353"), "")</f>
        <v>71</v>
      </c>
      <c r="H102">
        <f ca="1">IFERROR(INDIRECT("'" &amp; SUBSTITUTE($H$1,"'","''") &amp; "'!B353"), "")</f>
        <v>0.38500000000000001</v>
      </c>
      <c r="I102">
        <f ca="1">IFERROR(INDIRECT("'" &amp; SUBSTITUTE($H$1,"'","''") &amp; "'!C353"), "")</f>
        <v>67</v>
      </c>
      <c r="J102">
        <f ca="1">IFERROR(INDIRECT("'" &amp; SUBSTITUTE($J$1,"'","''") &amp; "'!B353"), "")</f>
        <v>0.28599999999999998</v>
      </c>
      <c r="K102">
        <f ca="1">IFERROR(INDIRECT("'" &amp; SUBSTITUTE($J$1,"'","''") &amp; "'!C353"), "")</f>
        <v>65</v>
      </c>
      <c r="L102">
        <f ca="1">IFERROR(INDIRECT("'" &amp; SUBSTITUTE($L$1,"'","''") &amp; "'!B353"), "")</f>
        <v>0.33300000000000002</v>
      </c>
      <c r="M102">
        <f ca="1">IFERROR(INDIRECT("'" &amp; SUBSTITUTE($L$1,"'","''") &amp; "'!C353"), "")</f>
        <v>76</v>
      </c>
      <c r="N102">
        <f ca="1">IFERROR(INDIRECT("'" &amp; SUBSTITUTE($N$1,"'","''") &amp; "'!B353"), "")</f>
        <v>0.41299999999999998</v>
      </c>
      <c r="O102">
        <f ca="1">IFERROR(INDIRECT("'" &amp; SUBSTITUTE($N$1,"'","''") &amp; "'!C353"), "")</f>
        <v>55</v>
      </c>
      <c r="P102">
        <f ca="1">IFERROR(INDIRECT("'" &amp; SUBSTITUTE($P$1,"'","''") &amp; "'!B353"), "")</f>
        <v>0.32900000000000001</v>
      </c>
      <c r="Q102">
        <f ca="1">IFERROR(INDIRECT("'" &amp; SUBSTITUTE($P$1,"'","''") &amp; "'!C353"), "")</f>
        <v>65</v>
      </c>
      <c r="R102">
        <f ca="1">IFERROR(INDIRECT("'" &amp; SUBSTITUTE($R$1,"'","''") &amp; "'!B353"), "")</f>
        <v>0.46700000000000003</v>
      </c>
      <c r="S102">
        <f ca="1">IFERROR(INDIRECT("'" &amp; SUBSTITUTE($R$1,"'","''") &amp; "'!C353"), "")</f>
        <v>17</v>
      </c>
      <c r="T102">
        <f ca="1">IFERROR(INDIRECT("'" &amp; SUBSTITUTE($T$1,"'","''") &amp; "'!B353"), "")</f>
        <v>0.28100000000000003</v>
      </c>
      <c r="U102">
        <f ca="1">IFERROR(INDIRECT("'" &amp; SUBSTITUTE($T$1,"'","''") &amp; "'!C353"), "")</f>
        <v>75</v>
      </c>
      <c r="V102">
        <f ca="1">IFERROR(INDIRECT("'" &amp; SUBSTITUTE($V$1,"'","''") &amp; "'!B353"), "")</f>
        <v>0.26700000000000002</v>
      </c>
      <c r="W102">
        <f ca="1">IFERROR(INDIRECT("'" &amp; SUBSTITUTE($V$1,"'","''") &amp; "'!C353"), "")</f>
        <v>90</v>
      </c>
      <c r="X102">
        <f ca="1">IFERROR(INDIRECT("'" &amp; SUBSTITUTE($X$1,"'","''") &amp; "'!B353"), "")</f>
        <v>0.5</v>
      </c>
      <c r="Y102">
        <f ca="1">IFERROR(INDIRECT("'" &amp; SUBSTITUTE($X$1,"'","''") &amp; "'!C353"), "")</f>
        <v>18</v>
      </c>
    </row>
    <row r="103" spans="1:25" x14ac:dyDescent="0.2">
      <c r="A103" t="s">
        <v>101</v>
      </c>
      <c r="B103">
        <f ca="1">IFERROR(INDIRECT("'" &amp; SUBSTITUTE($B$1,"'","''") &amp; "'!B357"), "")</f>
        <v>11.43</v>
      </c>
      <c r="C103">
        <f ca="1">IFERROR(INDIRECT("'" &amp; SUBSTITUTE($B$1,"'","''") &amp; "'!C357"), "")</f>
        <v>1</v>
      </c>
      <c r="D103">
        <f ca="1">IFERROR(INDIRECT("'" &amp; SUBSTITUTE($D$1,"'","''") &amp; "'!B357"), "")</f>
        <v>33.520000000000003</v>
      </c>
      <c r="E103">
        <f ca="1">IFERROR(INDIRECT("'" &amp; SUBSTITUTE($D$1,"'","''") &amp; "'!C357"), "")</f>
        <v>56</v>
      </c>
      <c r="F103">
        <f ca="1">IFERROR(INDIRECT("'" &amp; SUBSTITUTE($F$1,"'","''") &amp; "'!B357"), "")</f>
        <v>29.51</v>
      </c>
      <c r="G103">
        <f ca="1">IFERROR(INDIRECT("'" &amp; SUBSTITUTE($F$1,"'","''") &amp; "'!C357"), "")</f>
        <v>37</v>
      </c>
      <c r="H103">
        <f ca="1">IFERROR(INDIRECT("'" &amp; SUBSTITUTE($H$1,"'","''") &amp; "'!B357"), "")</f>
        <v>32.97</v>
      </c>
      <c r="I103">
        <f ca="1">IFERROR(INDIRECT("'" &amp; SUBSTITUTE($H$1,"'","''") &amp; "'!C357"), "")</f>
        <v>53</v>
      </c>
      <c r="J103">
        <f ca="1">IFERROR(INDIRECT("'" &amp; SUBSTITUTE($J$1,"'","''") &amp; "'!B357"), "")</f>
        <v>50.6</v>
      </c>
      <c r="K103">
        <f ca="1">IFERROR(INDIRECT("'" &amp; SUBSTITUTE($J$1,"'","''") &amp; "'!C357"), "")</f>
        <v>86</v>
      </c>
      <c r="L103">
        <f ca="1">IFERROR(INDIRECT("'" &amp; SUBSTITUTE($L$1,"'","''") &amp; "'!B357"), "")</f>
        <v>46.91</v>
      </c>
      <c r="M103">
        <f ca="1">IFERROR(INDIRECT("'" &amp; SUBSTITUTE($L$1,"'","''") &amp; "'!C357"), "")</f>
        <v>82</v>
      </c>
      <c r="N103">
        <f ca="1">IFERROR(INDIRECT("'" &amp; SUBSTITUTE($N$1,"'","''") &amp; "'!B357"), "")</f>
        <v>28.26</v>
      </c>
      <c r="O103">
        <f ca="1">IFERROR(INDIRECT("'" &amp; SUBSTITUTE($N$1,"'","''") &amp; "'!C357"), "")</f>
        <v>40</v>
      </c>
      <c r="P103">
        <f ca="1">IFERROR(INDIRECT("'" &amp; SUBSTITUTE($P$1,"'","''") &amp; "'!B357"), "")</f>
        <v>31.05</v>
      </c>
      <c r="Q103">
        <f ca="1">IFERROR(INDIRECT("'" &amp; SUBSTITUTE($P$1,"'","''") &amp; "'!C357"), "")</f>
        <v>50</v>
      </c>
      <c r="R103">
        <f ca="1">IFERROR(INDIRECT("'" &amp; SUBSTITUTE($R$1,"'","''") &amp; "'!B357"), "")</f>
        <v>31.1</v>
      </c>
      <c r="S103">
        <f ca="1">IFERROR(INDIRECT("'" &amp; SUBSTITUTE($R$1,"'","''") &amp; "'!C357"), "")</f>
        <v>50</v>
      </c>
      <c r="T103">
        <f ca="1">IFERROR(INDIRECT("'" &amp; SUBSTITUTE($T$1,"'","''") &amp; "'!B357"), "")</f>
        <v>39.29</v>
      </c>
      <c r="U103">
        <f ca="1">IFERROR(INDIRECT("'" &amp; SUBSTITUTE($T$1,"'","''") &amp; "'!C357"), "")</f>
        <v>77</v>
      </c>
      <c r="V103">
        <f ca="1">IFERROR(INDIRECT("'" &amp; SUBSTITUTE($V$1,"'","''") &amp; "'!B357"), "")</f>
        <v>31.1</v>
      </c>
      <c r="W103">
        <f ca="1">IFERROR(INDIRECT("'" &amp; SUBSTITUTE($V$1,"'","''") &amp; "'!C357"), "")</f>
        <v>54</v>
      </c>
      <c r="X103">
        <f ca="1">IFERROR(INDIRECT("'" &amp; SUBSTITUTE($X$1,"'","''") &amp; "'!B357"), "")</f>
        <v>21.28</v>
      </c>
      <c r="Y103">
        <f ca="1">IFERROR(INDIRECT("'" &amp; SUBSTITUTE($X$1,"'","''") &amp; "'!C357"), "")</f>
        <v>9</v>
      </c>
    </row>
    <row r="104" spans="1:25" x14ac:dyDescent="0.2">
      <c r="A104" t="s">
        <v>102</v>
      </c>
      <c r="B104">
        <f ca="1">IFERROR(INDIRECT("'" &amp; SUBSTITUTE($B$1,"'","''") &amp; "'!B360"), "")</f>
        <v>44.33</v>
      </c>
      <c r="C104">
        <f ca="1">IFERROR(INDIRECT("'" &amp; SUBSTITUTE($B$1,"'","''") &amp; "'!C360"), "")</f>
        <v>1</v>
      </c>
      <c r="D104">
        <f ca="1">IFERROR(INDIRECT("'" &amp; SUBSTITUTE($D$1,"'","''") &amp; "'!B360"), "")</f>
        <v>190.75</v>
      </c>
      <c r="E104">
        <f ca="1">IFERROR(INDIRECT("'" &amp; SUBSTITUTE($D$1,"'","''") &amp; "'!C360"), "")</f>
        <v>71</v>
      </c>
      <c r="F104">
        <f ca="1">IFERROR(INDIRECT("'" &amp; SUBSTITUTE($F$1,"'","''") &amp; "'!B360"), "")</f>
        <v>183.6</v>
      </c>
      <c r="G104">
        <f ca="1">IFERROR(INDIRECT("'" &amp; SUBSTITUTE($F$1,"'","''") &amp; "'!C360"), "")</f>
        <v>66</v>
      </c>
      <c r="H104">
        <f ca="1">IFERROR(INDIRECT("'" &amp; SUBSTITUTE($H$1,"'","''") &amp; "'!B360"), "")</f>
        <v>141.97</v>
      </c>
      <c r="I104">
        <f ca="1">IFERROR(INDIRECT("'" &amp; SUBSTITUTE($H$1,"'","''") &amp; "'!C360"), "")</f>
        <v>39</v>
      </c>
      <c r="J104">
        <f ca="1">IFERROR(INDIRECT("'" &amp; SUBSTITUTE($J$1,"'","''") &amp; "'!B360"), "")</f>
        <v>273.43</v>
      </c>
      <c r="K104">
        <f ca="1">IFERROR(INDIRECT("'" &amp; SUBSTITUTE($J$1,"'","''") &amp; "'!C360"), "")</f>
        <v>93</v>
      </c>
      <c r="L104">
        <f ca="1">IFERROR(INDIRECT("'" &amp; SUBSTITUTE($L$1,"'","''") &amp; "'!B360"), "")</f>
        <v>227.65</v>
      </c>
      <c r="M104">
        <f ca="1">IFERROR(INDIRECT("'" &amp; SUBSTITUTE($L$1,"'","''") &amp; "'!C360"), "")</f>
        <v>79</v>
      </c>
      <c r="N104">
        <f ca="1">IFERROR(INDIRECT("'" &amp; SUBSTITUTE($N$1,"'","''") &amp; "'!B360"), "")</f>
        <v>148.65</v>
      </c>
      <c r="O104">
        <f ca="1">IFERROR(INDIRECT("'" &amp; SUBSTITUTE($N$1,"'","''") &amp; "'!C360"), "")</f>
        <v>43</v>
      </c>
      <c r="P104">
        <f ca="1">IFERROR(INDIRECT("'" &amp; SUBSTITUTE($P$1,"'","''") &amp; "'!B360"), "")</f>
        <v>201.12</v>
      </c>
      <c r="Q104">
        <f ca="1">IFERROR(INDIRECT("'" &amp; SUBSTITUTE($P$1,"'","''") &amp; "'!C360"), "")</f>
        <v>78</v>
      </c>
      <c r="R104">
        <f ca="1">IFERROR(INDIRECT("'" &amp; SUBSTITUTE($R$1,"'","''") &amp; "'!B360"), "")</f>
        <v>129.13</v>
      </c>
      <c r="S104">
        <f ca="1">IFERROR(INDIRECT("'" &amp; SUBSTITUTE($R$1,"'","''") &amp; "'!C360"), "")</f>
        <v>31</v>
      </c>
      <c r="T104">
        <f ca="1">IFERROR(INDIRECT("'" &amp; SUBSTITUTE($T$1,"'","''") &amp; "'!B360"), "")</f>
        <v>179.08</v>
      </c>
      <c r="U104">
        <f ca="1">IFERROR(INDIRECT("'" &amp; SUBSTITUTE($T$1,"'","''") &amp; "'!C360"), "")</f>
        <v>65</v>
      </c>
      <c r="V104">
        <f ca="1">IFERROR(INDIRECT("'" &amp; SUBSTITUTE($V$1,"'","''") &amp; "'!B360"), "")</f>
        <v>155.71</v>
      </c>
      <c r="W104">
        <f ca="1">IFERROR(INDIRECT("'" &amp; SUBSTITUTE($V$1,"'","''") &amp; "'!C360"), "")</f>
        <v>47</v>
      </c>
      <c r="X104">
        <f ca="1">IFERROR(INDIRECT("'" &amp; SUBSTITUTE($X$1,"'","''") &amp; "'!B360"), "")</f>
        <v>85.98</v>
      </c>
      <c r="Y104">
        <f ca="1">IFERROR(INDIRECT("'" &amp; SUBSTITUTE($X$1,"'","''") &amp; "'!C360"), "")</f>
        <v>5</v>
      </c>
    </row>
    <row r="105" spans="1:25" x14ac:dyDescent="0.2">
      <c r="A105" t="s">
        <v>103</v>
      </c>
      <c r="B105">
        <f ca="1">IFERROR(INDIRECT("'" &amp; SUBSTITUTE($B$1,"'","''") &amp; "'!B363"), "")</f>
        <v>19.16</v>
      </c>
      <c r="C105">
        <f ca="1">IFERROR(INDIRECT("'" &amp; SUBSTITUTE($B$1,"'","''") &amp; "'!C363"), "")</f>
        <v>1</v>
      </c>
      <c r="D105">
        <f ca="1">IFERROR(INDIRECT("'" &amp; SUBSTITUTE($D$1,"'","''") &amp; "'!B363"), "")</f>
        <v>80.31</v>
      </c>
      <c r="E105">
        <f ca="1">IFERROR(INDIRECT("'" &amp; SUBSTITUTE($D$1,"'","''") &amp; "'!C363"), "")</f>
        <v>58</v>
      </c>
      <c r="F105">
        <f ca="1">IFERROR(INDIRECT("'" &amp; SUBSTITUTE($F$1,"'","''") &amp; "'!B363"), "")</f>
        <v>93.66</v>
      </c>
      <c r="G105">
        <f ca="1">IFERROR(INDIRECT("'" &amp; SUBSTITUTE($F$1,"'","''") &amp; "'!C363"), "")</f>
        <v>75</v>
      </c>
      <c r="H105">
        <f ca="1">IFERROR(INDIRECT("'" &amp; SUBSTITUTE($H$1,"'","''") &amp; "'!B363"), "")</f>
        <v>63.87</v>
      </c>
      <c r="I105">
        <f ca="1">IFERROR(INDIRECT("'" &amp; SUBSTITUTE($H$1,"'","''") &amp; "'!C363"), "")</f>
        <v>36</v>
      </c>
      <c r="J105">
        <f ca="1">IFERROR(INDIRECT("'" &amp; SUBSTITUTE($J$1,"'","''") &amp; "'!B363"), "")</f>
        <v>162.03</v>
      </c>
      <c r="K105">
        <f ca="1">IFERROR(INDIRECT("'" &amp; SUBSTITUTE($J$1,"'","''") &amp; "'!C363"), "")</f>
        <v>94</v>
      </c>
      <c r="L105">
        <f ca="1">IFERROR(INDIRECT("'" &amp; SUBSTITUTE($L$1,"'","''") &amp; "'!B363"), "")</f>
        <v>103.7</v>
      </c>
      <c r="M105">
        <f ca="1">IFERROR(INDIRECT("'" &amp; SUBSTITUTE($L$1,"'","''") &amp; "'!C363"), "")</f>
        <v>73</v>
      </c>
      <c r="N105">
        <f ca="1">IFERROR(INDIRECT("'" &amp; SUBSTITUTE($N$1,"'","''") &amp; "'!B363"), "")</f>
        <v>69.17</v>
      </c>
      <c r="O105">
        <f ca="1">IFERROR(INDIRECT("'" &amp; SUBSTITUTE($N$1,"'","''") &amp; "'!C363"), "")</f>
        <v>43</v>
      </c>
      <c r="P105">
        <f ca="1">IFERROR(INDIRECT("'" &amp; SUBSTITUTE($P$1,"'","''") &amp; "'!B363"), "")</f>
        <v>96.31</v>
      </c>
      <c r="Q105">
        <f ca="1">IFERROR(INDIRECT("'" &amp; SUBSTITUTE($P$1,"'","''") &amp; "'!C363"), "")</f>
        <v>79</v>
      </c>
      <c r="R105">
        <f ca="1">IFERROR(INDIRECT("'" &amp; SUBSTITUTE($R$1,"'","''") &amp; "'!B363"), "")</f>
        <v>68.260000000000005</v>
      </c>
      <c r="S105">
        <f ca="1">IFERROR(INDIRECT("'" &amp; SUBSTITUTE($R$1,"'","''") &amp; "'!C363"), "")</f>
        <v>45</v>
      </c>
      <c r="T105">
        <f ca="1">IFERROR(INDIRECT("'" &amp; SUBSTITUTE($T$1,"'","''") &amp; "'!B363"), "")</f>
        <v>88.84</v>
      </c>
      <c r="U105">
        <f ca="1">IFERROR(INDIRECT("'" &amp; SUBSTITUTE($T$1,"'","''") &amp; "'!C363"), "")</f>
        <v>71</v>
      </c>
      <c r="V105">
        <f ca="1">IFERROR(INDIRECT("'" &amp; SUBSTITUTE($V$1,"'","''") &amp; "'!B363"), "")</f>
        <v>62.31</v>
      </c>
      <c r="W105">
        <f ca="1">IFERROR(INDIRECT("'" &amp; SUBSTITUTE($V$1,"'","''") &amp; "'!C363"), "")</f>
        <v>36</v>
      </c>
      <c r="X105">
        <f ca="1">IFERROR(INDIRECT("'" &amp; SUBSTITUTE($X$1,"'","''") &amp; "'!B363"), "")</f>
        <v>33.32</v>
      </c>
      <c r="Y105">
        <f ca="1">IFERROR(INDIRECT("'" &amp; SUBSTITUTE($X$1,"'","''") &amp; "'!C363"), "")</f>
        <v>4</v>
      </c>
    </row>
    <row r="106" spans="1:25" x14ac:dyDescent="0.2">
      <c r="A106" t="s">
        <v>104</v>
      </c>
      <c r="B106">
        <f ca="1">IFERROR(INDIRECT("'" &amp; SUBSTITUTE($B$1,"'","''") &amp; "'!B370"), "")</f>
        <v>0.55000000000000004</v>
      </c>
      <c r="C106">
        <f ca="1">IFERROR(INDIRECT("'" &amp; SUBSTITUTE($B$1,"'","''") &amp; "'!C370"), "")</f>
        <v>8</v>
      </c>
      <c r="D106">
        <f ca="1">IFERROR(INDIRECT("'" &amp; SUBSTITUTE($D$1,"'","''") &amp; "'!B370"), "")</f>
        <v>1.45</v>
      </c>
      <c r="E106">
        <f ca="1">IFERROR(INDIRECT("'" &amp; SUBSTITUTE($D$1,"'","''") &amp; "'!C370"), "")</f>
        <v>70</v>
      </c>
      <c r="F106">
        <f ca="1">IFERROR(INDIRECT("'" &amp; SUBSTITUTE($F$1,"'","''") &amp; "'!B370"), "")</f>
        <v>2.25</v>
      </c>
      <c r="G106">
        <f ca="1">IFERROR(INDIRECT("'" &amp; SUBSTITUTE($F$1,"'","''") &amp; "'!C370"), "")</f>
        <v>92</v>
      </c>
      <c r="H106">
        <f ca="1">IFERROR(INDIRECT("'" &amp; SUBSTITUTE($H$1,"'","''") &amp; "'!B370"), "")</f>
        <v>0.64</v>
      </c>
      <c r="I106">
        <f ca="1">IFERROR(INDIRECT("'" &amp; SUBSTITUTE($H$1,"'","''") &amp; "'!C370"), "")</f>
        <v>13</v>
      </c>
      <c r="J106">
        <f ca="1">IFERROR(INDIRECT("'" &amp; SUBSTITUTE($J$1,"'","''") &amp; "'!B370"), "")</f>
        <v>0.71</v>
      </c>
      <c r="K106">
        <f ca="1">IFERROR(INDIRECT("'" &amp; SUBSTITUTE($J$1,"'","''") &amp; "'!C370"), "")</f>
        <v>72</v>
      </c>
      <c r="L106">
        <f ca="1">IFERROR(INDIRECT("'" &amp; SUBSTITUTE($L$1,"'","''") &amp; "'!B370"), "")</f>
        <v>1.25</v>
      </c>
      <c r="M106">
        <f ca="1">IFERROR(INDIRECT("'" &amp; SUBSTITUTE($L$1,"'","''") &amp; "'!C370"), "")</f>
        <v>46</v>
      </c>
      <c r="N106">
        <f ca="1">IFERROR(INDIRECT("'" &amp; SUBSTITUTE($N$1,"'","''") &amp; "'!B370"), "")</f>
        <v>0.94</v>
      </c>
      <c r="O106">
        <f ca="1">IFERROR(INDIRECT("'" &amp; SUBSTITUTE($N$1,"'","''") &amp; "'!C370"), "")</f>
        <v>28</v>
      </c>
      <c r="P106">
        <f ca="1">IFERROR(INDIRECT("'" &amp; SUBSTITUTE($P$1,"'","''") &amp; "'!B370"), "")</f>
        <v>1.97</v>
      </c>
      <c r="Q106">
        <f ca="1">IFERROR(INDIRECT("'" &amp; SUBSTITUTE($P$1,"'","''") &amp; "'!C370"), "")</f>
        <v>82</v>
      </c>
      <c r="R106">
        <f ca="1">IFERROR(INDIRECT("'" &amp; SUBSTITUTE($R$1,"'","''") &amp; "'!B370"), "")</f>
        <v>1.1599999999999999</v>
      </c>
      <c r="S106">
        <f ca="1">IFERROR(INDIRECT("'" &amp; SUBSTITUTE($R$1,"'","''") &amp; "'!C370"), "")</f>
        <v>50</v>
      </c>
      <c r="T106">
        <f ca="1">IFERROR(INDIRECT("'" &amp; SUBSTITUTE($T$1,"'","''") &amp; "'!B370"), "")</f>
        <v>0.86</v>
      </c>
      <c r="U106">
        <f ca="1">IFERROR(INDIRECT("'" &amp; SUBSTITUTE($T$1,"'","''") &amp; "'!C370"), "")</f>
        <v>30</v>
      </c>
      <c r="V106">
        <f ca="1">IFERROR(INDIRECT("'" &amp; SUBSTITUTE($V$1,"'","''") &amp; "'!B370"), "")</f>
        <v>1.54</v>
      </c>
      <c r="W106">
        <f ca="1">IFERROR(INDIRECT("'" &amp; SUBSTITUTE($V$1,"'","''") &amp; "'!C370"), "")</f>
        <v>58</v>
      </c>
      <c r="X106">
        <f ca="1">IFERROR(INDIRECT("'" &amp; SUBSTITUTE($X$1,"'","''") &amp; "'!B370"), "")</f>
        <v>0.65</v>
      </c>
      <c r="Y106">
        <f ca="1">IFERROR(INDIRECT("'" &amp; SUBSTITUTE($X$1,"'","''") &amp; "'!C370"), "")</f>
        <v>13</v>
      </c>
    </row>
    <row r="107" spans="1:25" x14ac:dyDescent="0.2">
      <c r="A107" t="s">
        <v>105</v>
      </c>
      <c r="B107">
        <f ca="1">IFERROR(INDIRECT("'" &amp; SUBSTITUTE($B$1,"'","''") &amp; "'!B373"), "")</f>
        <v>0.19</v>
      </c>
      <c r="C107">
        <f ca="1">IFERROR(INDIRECT("'" &amp; SUBSTITUTE($B$1,"'","''") &amp; "'!C373"), "")</f>
        <v>61</v>
      </c>
      <c r="D107">
        <f ca="1">IFERROR(INDIRECT("'" &amp; SUBSTITUTE($D$1,"'","''") &amp; "'!B373"), "")</f>
        <v>0.15</v>
      </c>
      <c r="E107">
        <f ca="1">IFERROR(INDIRECT("'" &amp; SUBSTITUTE($D$1,"'","''") &amp; "'!C373"), "")</f>
        <v>49</v>
      </c>
      <c r="F107">
        <f ca="1">IFERROR(INDIRECT("'" &amp; SUBSTITUTE($F$1,"'","''") &amp; "'!B373"), "")</f>
        <v>0.52</v>
      </c>
      <c r="G107">
        <f ca="1">IFERROR(INDIRECT("'" &amp; SUBSTITUTE($F$1,"'","''") &amp; "'!C373"), "")</f>
        <v>92</v>
      </c>
      <c r="H107">
        <f ca="1">IFERROR(INDIRECT("'" &amp; SUBSTITUTE($H$1,"'","''") &amp; "'!B373"), "")</f>
        <v>0</v>
      </c>
      <c r="I107">
        <f ca="1">IFERROR(INDIRECT("'" &amp; SUBSTITUTE($H$1,"'","''") &amp; "'!C373"), "")</f>
        <v>5</v>
      </c>
      <c r="J107">
        <f ca="1">IFERROR(INDIRECT("'" &amp; SUBSTITUTE($J$1,"'","''") &amp; "'!B373"), "")</f>
        <v>0</v>
      </c>
      <c r="K107">
        <f ca="1">IFERROR(INDIRECT("'" &amp; SUBSTITUTE($J$1,"'","''") &amp; "'!C373"), "")</f>
        <v>25</v>
      </c>
      <c r="L107">
        <f ca="1">IFERROR(INDIRECT("'" &amp; SUBSTITUTE($L$1,"'","''") &amp; "'!B373"), "")</f>
        <v>0.15</v>
      </c>
      <c r="M107">
        <f ca="1">IFERROR(INDIRECT("'" &amp; SUBSTITUTE($L$1,"'","''") &amp; "'!C373"), "")</f>
        <v>41</v>
      </c>
      <c r="N107">
        <f ca="1">IFERROR(INDIRECT("'" &amp; SUBSTITUTE($N$1,"'","''") &amp; "'!B373"), "")</f>
        <v>0.09</v>
      </c>
      <c r="O107">
        <f ca="1">IFERROR(INDIRECT("'" &amp; SUBSTITUTE($N$1,"'","''") &amp; "'!C373"), "")</f>
        <v>25</v>
      </c>
      <c r="P107">
        <f ca="1">IFERROR(INDIRECT("'" &amp; SUBSTITUTE($P$1,"'","''") &amp; "'!B373"), "")</f>
        <v>0.36</v>
      </c>
      <c r="Q107">
        <f ca="1">IFERROR(INDIRECT("'" &amp; SUBSTITUTE($P$1,"'","''") &amp; "'!C373"), "")</f>
        <v>70</v>
      </c>
      <c r="R107">
        <f ca="1">IFERROR(INDIRECT("'" &amp; SUBSTITUTE($R$1,"'","''") &amp; "'!B373"), "")</f>
        <v>0</v>
      </c>
      <c r="S107">
        <f ca="1">IFERROR(INDIRECT("'" &amp; SUBSTITUTE($R$1,"'","''") &amp; "'!C373"), "")</f>
        <v>9</v>
      </c>
      <c r="T107">
        <f ca="1">IFERROR(INDIRECT("'" &amp; SUBSTITUTE($T$1,"'","''") &amp; "'!B373"), "")</f>
        <v>0.03</v>
      </c>
      <c r="U107">
        <f ca="1">IFERROR(INDIRECT("'" &amp; SUBSTITUTE($T$1,"'","''") &amp; "'!C373"), "")</f>
        <v>20</v>
      </c>
      <c r="V107">
        <f ca="1">IFERROR(INDIRECT("'" &amp; SUBSTITUTE($V$1,"'","''") &amp; "'!B373"), "")</f>
        <v>0.11</v>
      </c>
      <c r="W107">
        <f ca="1">IFERROR(INDIRECT("'" &amp; SUBSTITUTE($V$1,"'","''") &amp; "'!C373"), "")</f>
        <v>30</v>
      </c>
      <c r="X107">
        <f ca="1">IFERROR(INDIRECT("'" &amp; SUBSTITUTE($X$1,"'","''") &amp; "'!B373"), "")</f>
        <v>0</v>
      </c>
      <c r="Y107">
        <f ca="1">IFERROR(INDIRECT("'" &amp; SUBSTITUTE($X$1,"'","''") &amp; "'!C373"), "")</f>
        <v>5</v>
      </c>
    </row>
    <row r="108" spans="1:25" x14ac:dyDescent="0.2">
      <c r="A108" t="s">
        <v>106</v>
      </c>
      <c r="B108">
        <f ca="1">IFERROR(INDIRECT("'" &amp; SUBSTITUTE($B$1,"'","''") &amp; "'!B376"), "")</f>
        <v>2.21</v>
      </c>
      <c r="C108">
        <f ca="1">IFERROR(INDIRECT("'" &amp; SUBSTITUTE($B$1,"'","''") &amp; "'!C376"), "")</f>
        <v>4</v>
      </c>
      <c r="D108">
        <f ca="1">IFERROR(INDIRECT("'" &amp; SUBSTITUTE($D$1,"'","''") &amp; "'!B376"), "")</f>
        <v>1.67</v>
      </c>
      <c r="E108">
        <f ca="1">IFERROR(INDIRECT("'" &amp; SUBSTITUTE($D$1,"'","''") &amp; "'!C376"), "")</f>
        <v>17</v>
      </c>
      <c r="F108">
        <f ca="1">IFERROR(INDIRECT("'" &amp; SUBSTITUTE($F$1,"'","''") &amp; "'!B376"), "")</f>
        <v>2.46</v>
      </c>
      <c r="G108">
        <f ca="1">IFERROR(INDIRECT("'" &amp; SUBSTITUTE($F$1,"'","''") &amp; "'!C376"), "")</f>
        <v>1</v>
      </c>
      <c r="H108">
        <f ca="1">IFERROR(INDIRECT("'" &amp; SUBSTITUTE($H$1,"'","''") &amp; "'!B376"), "")</f>
        <v>1.06</v>
      </c>
      <c r="I108">
        <f ca="1">IFERROR(INDIRECT("'" &amp; SUBSTITUTE($H$1,"'","''") &amp; "'!C376"), "")</f>
        <v>61</v>
      </c>
      <c r="J108">
        <f ca="1">IFERROR(INDIRECT("'" &amp; SUBSTITUTE($J$1,"'","''") &amp; "'!B376"), "")</f>
        <v>0.51</v>
      </c>
      <c r="K108">
        <f ca="1">IFERROR(INDIRECT("'" &amp; SUBSTITUTE($J$1,"'","''") &amp; "'!C376"), "")</f>
        <v>43</v>
      </c>
      <c r="L108">
        <f ca="1">IFERROR(INDIRECT("'" &amp; SUBSTITUTE($L$1,"'","''") &amp; "'!B376"), "")</f>
        <v>0.52</v>
      </c>
      <c r="M108">
        <f ca="1">IFERROR(INDIRECT("'" &amp; SUBSTITUTE($L$1,"'","''") &amp; "'!C376"), "")</f>
        <v>96</v>
      </c>
      <c r="N108">
        <f ca="1">IFERROR(INDIRECT("'" &amp; SUBSTITUTE($N$1,"'","''") &amp; "'!B376"), "")</f>
        <v>1</v>
      </c>
      <c r="O108">
        <f ca="1">IFERROR(INDIRECT("'" &amp; SUBSTITUTE($N$1,"'","''") &amp; "'!C376"), "")</f>
        <v>65</v>
      </c>
      <c r="P108">
        <f ca="1">IFERROR(INDIRECT("'" &amp; SUBSTITUTE($P$1,"'","''") &amp; "'!B376"), "")</f>
        <v>1.5</v>
      </c>
      <c r="Q108">
        <f ca="1">IFERROR(INDIRECT("'" &amp; SUBSTITUTE($P$1,"'","''") &amp; "'!C376"), "")</f>
        <v>38</v>
      </c>
      <c r="R108">
        <f ca="1">IFERROR(INDIRECT("'" &amp; SUBSTITUTE($R$1,"'","''") &amp; "'!B376"), "")</f>
        <v>0.71</v>
      </c>
      <c r="S108">
        <f ca="1">IFERROR(INDIRECT("'" &amp; SUBSTITUTE($R$1,"'","''") &amp; "'!C376"), "")</f>
        <v>90</v>
      </c>
      <c r="T108">
        <f ca="1">IFERROR(INDIRECT("'" &amp; SUBSTITUTE($T$1,"'","''") &amp; "'!B376"), "")</f>
        <v>0.66</v>
      </c>
      <c r="U108">
        <f ca="1">IFERROR(INDIRECT("'" &amp; SUBSTITUTE($T$1,"'","''") &amp; "'!C376"), "")</f>
        <v>95</v>
      </c>
      <c r="V108">
        <f ca="1">IFERROR(INDIRECT("'" &amp; SUBSTITUTE($V$1,"'","''") &amp; "'!B376"), "")</f>
        <v>1.43</v>
      </c>
      <c r="W108">
        <f ca="1">IFERROR(INDIRECT("'" &amp; SUBSTITUTE($V$1,"'","''") &amp; "'!C376"), "")</f>
        <v>38</v>
      </c>
      <c r="X108">
        <f ca="1">IFERROR(INDIRECT("'" &amp; SUBSTITUTE($X$1,"'","''") &amp; "'!B376"), "")</f>
        <v>1.1499999999999999</v>
      </c>
      <c r="Y108">
        <f ca="1">IFERROR(INDIRECT("'" &amp; SUBSTITUTE($X$1,"'","''") &amp; "'!C376"), "")</f>
        <v>76</v>
      </c>
    </row>
    <row r="109" spans="1:25" x14ac:dyDescent="0.2">
      <c r="A109" t="s">
        <v>107</v>
      </c>
      <c r="B109">
        <f ca="1">IFERROR(INDIRECT("'" &amp; SUBSTITUTE($B$1,"'","''") &amp; "'!B379"), "")</f>
        <v>0.75</v>
      </c>
      <c r="C109">
        <f ca="1">IFERROR(INDIRECT("'" &amp; SUBSTITUTE($B$1,"'","''") &amp; "'!C379"), "")</f>
        <v>55</v>
      </c>
      <c r="D109">
        <f ca="1">IFERROR(INDIRECT("'" &amp; SUBSTITUTE($D$1,"'","''") &amp; "'!B379"), "")</f>
        <v>1.48</v>
      </c>
      <c r="E109">
        <f ca="1">IFERROR(INDIRECT("'" &amp; SUBSTITUTE($D$1,"'","''") &amp; "'!C379"), "")</f>
        <v>5</v>
      </c>
      <c r="F109">
        <f ca="1">IFERROR(INDIRECT("'" &amp; SUBSTITUTE($F$1,"'","''") &amp; "'!B379"), "")</f>
        <v>1.72</v>
      </c>
      <c r="G109">
        <f ca="1">IFERROR(INDIRECT("'" &amp; SUBSTITUTE($F$1,"'","''") &amp; "'!C379"), "")</f>
        <v>1</v>
      </c>
      <c r="H109">
        <f ca="1">IFERROR(INDIRECT("'" &amp; SUBSTITUTE($H$1,"'","''") &amp; "'!B379"), "")</f>
        <v>0.77</v>
      </c>
      <c r="I109">
        <f ca="1">IFERROR(INDIRECT("'" &amp; SUBSTITUTE($H$1,"'","''") &amp; "'!C379"), "")</f>
        <v>52</v>
      </c>
      <c r="J109">
        <f ca="1">IFERROR(INDIRECT("'" &amp; SUBSTITUTE($J$1,"'","''") &amp; "'!B379"), "")</f>
        <v>0.37</v>
      </c>
      <c r="K109">
        <f ca="1">IFERROR(INDIRECT("'" &amp; SUBSTITUTE($J$1,"'","''") &amp; "'!C379"), "")</f>
        <v>12</v>
      </c>
      <c r="L109">
        <f ca="1">IFERROR(INDIRECT("'" &amp; SUBSTITUTE($L$1,"'","''") &amp; "'!B379"), "")</f>
        <v>0.52</v>
      </c>
      <c r="M109">
        <f ca="1">IFERROR(INDIRECT("'" &amp; SUBSTITUTE($L$1,"'","''") &amp; "'!C379"), "")</f>
        <v>86</v>
      </c>
      <c r="N109">
        <f ca="1">IFERROR(INDIRECT("'" &amp; SUBSTITUTE($N$1,"'","''") &amp; "'!B379"), "")</f>
        <v>0.67</v>
      </c>
      <c r="O109">
        <f ca="1">IFERROR(INDIRECT("'" &amp; SUBSTITUTE($N$1,"'","''") &amp; "'!C379"), "")</f>
        <v>75</v>
      </c>
      <c r="P109">
        <f ca="1">IFERROR(INDIRECT("'" &amp; SUBSTITUTE($P$1,"'","''") &amp; "'!B379"), "")</f>
        <v>1.42</v>
      </c>
      <c r="Q109">
        <f ca="1">IFERROR(INDIRECT("'" &amp; SUBSTITUTE($P$1,"'","''") &amp; "'!C379"), "")</f>
        <v>19</v>
      </c>
      <c r="R109">
        <f ca="1">IFERROR(INDIRECT("'" &amp; SUBSTITUTE($R$1,"'","''") &amp; "'!B379"), "")</f>
        <v>0.35</v>
      </c>
      <c r="S109">
        <f ca="1">IFERROR(INDIRECT("'" &amp; SUBSTITUTE($R$1,"'","''") &amp; "'!C379"), "")</f>
        <v>96</v>
      </c>
      <c r="T109">
        <f ca="1">IFERROR(INDIRECT("'" &amp; SUBSTITUTE($T$1,"'","''") &amp; "'!B379"), "")</f>
        <v>0.39</v>
      </c>
      <c r="U109">
        <f ca="1">IFERROR(INDIRECT("'" &amp; SUBSTITUTE($T$1,"'","''") &amp; "'!C379"), "")</f>
        <v>94</v>
      </c>
      <c r="V109">
        <f ca="1">IFERROR(INDIRECT("'" &amp; SUBSTITUTE($V$1,"'","''") &amp; "'!B379"), "")</f>
        <v>1.87</v>
      </c>
      <c r="W109">
        <f ca="1">IFERROR(INDIRECT("'" &amp; SUBSTITUTE($V$1,"'","''") &amp; "'!C379"), "")</f>
        <v>7</v>
      </c>
      <c r="X109">
        <f ca="1">IFERROR(INDIRECT("'" &amp; SUBSTITUTE($X$1,"'","''") &amp; "'!B379"), "")</f>
        <v>0.42</v>
      </c>
      <c r="Y109">
        <f ca="1">IFERROR(INDIRECT("'" &amp; SUBSTITUTE($X$1,"'","''") &amp; "'!C379"), "")</f>
        <v>95</v>
      </c>
    </row>
    <row r="110" spans="1:25" x14ac:dyDescent="0.2">
      <c r="A110" t="s">
        <v>108</v>
      </c>
      <c r="B110">
        <f ca="1">IFERROR(INDIRECT("'" &amp; SUBSTITUTE($B$1,"'","''") &amp; "'!B383"), "")</f>
        <v>15.4</v>
      </c>
      <c r="C110">
        <f ca="1">IFERROR(INDIRECT("'" &amp; SUBSTITUTE($B$1,"'","''") &amp; "'!C383"), "")</f>
        <v>1</v>
      </c>
      <c r="D110">
        <f ca="1">IFERROR(INDIRECT("'" &amp; SUBSTITUTE($D$1,"'","''") &amp; "'!B383"), "")</f>
        <v>42.46</v>
      </c>
      <c r="E110">
        <f ca="1">IFERROR(INDIRECT("'" &amp; SUBSTITUTE($D$1,"'","''") &amp; "'!C383"), "")</f>
        <v>60</v>
      </c>
      <c r="F110">
        <f ca="1">IFERROR(INDIRECT("'" &amp; SUBSTITUTE($F$1,"'","''") &amp; "'!B383"), "")</f>
        <v>33.270000000000003</v>
      </c>
      <c r="G110">
        <f ca="1">IFERROR(INDIRECT("'" &amp; SUBSTITUTE($F$1,"'","''") &amp; "'!C383"), "")</f>
        <v>28</v>
      </c>
      <c r="H110">
        <f ca="1">IFERROR(INDIRECT("'" &amp; SUBSTITUTE($H$1,"'","''") &amp; "'!B383"), "")</f>
        <v>39.21</v>
      </c>
      <c r="I110">
        <f ca="1">IFERROR(INDIRECT("'" &amp; SUBSTITUTE($H$1,"'","''") &amp; "'!C383"), "")</f>
        <v>50</v>
      </c>
      <c r="J110">
        <f ca="1">IFERROR(INDIRECT("'" &amp; SUBSTITUTE($J$1,"'","''") &amp; "'!B383"), "")</f>
        <v>59.34</v>
      </c>
      <c r="K110">
        <f ca="1">IFERROR(INDIRECT("'" &amp; SUBSTITUTE($J$1,"'","''") &amp; "'!C383"), "")</f>
        <v>87</v>
      </c>
      <c r="L110">
        <f ca="1">IFERROR(INDIRECT("'" &amp; SUBSTITUTE($L$1,"'","''") &amp; "'!B383"), "")</f>
        <v>56.42</v>
      </c>
      <c r="M110">
        <f ca="1">IFERROR(INDIRECT("'" &amp; SUBSTITUTE($L$1,"'","''") &amp; "'!C383"), "")</f>
        <v>82</v>
      </c>
      <c r="N110">
        <f ca="1">IFERROR(INDIRECT("'" &amp; SUBSTITUTE($N$1,"'","''") &amp; "'!B383"), "")</f>
        <v>36.479999999999997</v>
      </c>
      <c r="O110">
        <f ca="1">IFERROR(INDIRECT("'" &amp; SUBSTITUTE($N$1,"'","''") &amp; "'!C383"), "")</f>
        <v>51</v>
      </c>
      <c r="P110">
        <f ca="1">IFERROR(INDIRECT("'" &amp; SUBSTITUTE($P$1,"'","''") &amp; "'!B383"), "")</f>
        <v>34.4</v>
      </c>
      <c r="Q110">
        <f ca="1">IFERROR(INDIRECT("'" &amp; SUBSTITUTE($P$1,"'","''") &amp; "'!C383"), "")</f>
        <v>44</v>
      </c>
      <c r="R110">
        <f ca="1">IFERROR(INDIRECT("'" &amp; SUBSTITUTE($R$1,"'","''") &amp; "'!B383"), "")</f>
        <v>38.880000000000003</v>
      </c>
      <c r="S110">
        <f ca="1">IFERROR(INDIRECT("'" &amp; SUBSTITUTE($R$1,"'","''") &amp; "'!C383"), "")</f>
        <v>59</v>
      </c>
      <c r="T110">
        <f ca="1">IFERROR(INDIRECT("'" &amp; SUBSTITUTE($T$1,"'","''") &amp; "'!B383"), "")</f>
        <v>48.32</v>
      </c>
      <c r="U110">
        <f ca="1">IFERROR(INDIRECT("'" &amp; SUBSTITUTE($T$1,"'","''") &amp; "'!C383"), "")</f>
        <v>77</v>
      </c>
      <c r="V110">
        <f ca="1">IFERROR(INDIRECT("'" &amp; SUBSTITUTE($V$1,"'","''") &amp; "'!B383"), "")</f>
        <v>39.89</v>
      </c>
      <c r="W110">
        <f ca="1">IFERROR(INDIRECT("'" &amp; SUBSTITUTE($V$1,"'","''") &amp; "'!C383"), "")</f>
        <v>60</v>
      </c>
      <c r="X110">
        <f ca="1">IFERROR(INDIRECT("'" &amp; SUBSTITUTE($X$1,"'","''") &amp; "'!B383"), "")</f>
        <v>30.05</v>
      </c>
      <c r="Y110">
        <f ca="1">IFERROR(INDIRECT("'" &amp; SUBSTITUTE($X$1,"'","''") &amp; "'!C383"), "")</f>
        <v>33</v>
      </c>
    </row>
    <row r="111" spans="1:25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54</v>
      </c>
      <c r="D111">
        <f ca="1">IFERROR(INDIRECT("'" &amp; SUBSTITUTE($D$1,"'","''") &amp; "'!B397"), "")</f>
        <v>0.03</v>
      </c>
      <c r="E111">
        <f ca="1">IFERROR(INDIRECT("'" &amp; SUBSTITUTE($D$1,"'","''") &amp; "'!C397"), "")</f>
        <v>6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54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54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56</v>
      </c>
      <c r="L111">
        <f ca="1">IFERROR(INDIRECT("'" &amp; SUBSTITUTE($L$1,"'","''") &amp; "'!B397"), "")</f>
        <v>0</v>
      </c>
      <c r="M111">
        <f ca="1">IFERROR(INDIRECT("'" &amp; SUBSTITUTE($L$1,"'","''") &amp; "'!C397"), "")</f>
        <v>53</v>
      </c>
      <c r="N111">
        <f ca="1">IFERROR(INDIRECT("'" &amp; SUBSTITUTE($N$1,"'","''") &amp; "'!B397"), "")</f>
        <v>0.03</v>
      </c>
      <c r="O111">
        <f ca="1">IFERROR(INDIRECT("'" &amp; SUBSTITUTE($N$1,"'","''") &amp; "'!C397"), "")</f>
        <v>3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53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53</v>
      </c>
      <c r="T111">
        <f ca="1">IFERROR(INDIRECT("'" &amp; SUBSTITUTE($T$1,"'","''") &amp; "'!B397"), "")</f>
        <v>0</v>
      </c>
      <c r="U111">
        <f ca="1">IFERROR(INDIRECT("'" &amp; SUBSTITUTE($T$1,"'","''") &amp; "'!C397"), "")</f>
        <v>53</v>
      </c>
      <c r="V111">
        <f ca="1">IFERROR(INDIRECT("'" &amp; SUBSTITUTE($V$1,"'","''") &amp; "'!B397"), "")</f>
        <v>0</v>
      </c>
      <c r="W111">
        <f ca="1">IFERROR(INDIRECT("'" &amp; SUBSTITUTE($V$1,"'","''") &amp; "'!C397"), "")</f>
        <v>53</v>
      </c>
      <c r="X111">
        <f ca="1">IFERROR(INDIRECT("'" &amp; SUBSTITUTE($X$1,"'","''") &amp; "'!B397"), "")</f>
        <v>0</v>
      </c>
      <c r="Y111">
        <f ca="1">IFERROR(INDIRECT("'" &amp; SUBSTITUTE($X$1,"'","''") &amp; "'!C397"), "")</f>
        <v>52</v>
      </c>
    </row>
    <row r="112" spans="1:25" x14ac:dyDescent="0.2">
      <c r="A112" t="s">
        <v>110</v>
      </c>
      <c r="B112">
        <f ca="1">IFERROR(INDIRECT("'" &amp; SUBSTITUTE($B$1,"'","''") &amp; "'!B400"), "")</f>
        <v>1.72</v>
      </c>
      <c r="C112">
        <f ca="1">IFERROR(INDIRECT("'" &amp; SUBSTITUTE($B$1,"'","''") &amp; "'!C400"), "")</f>
        <v>20</v>
      </c>
      <c r="D112">
        <f ca="1">IFERROR(INDIRECT("'" &amp; SUBSTITUTE($D$1,"'","''") &amp; "'!B400"), "")</f>
        <v>2.2400000000000002</v>
      </c>
      <c r="E112">
        <f ca="1">IFERROR(INDIRECT("'" &amp; SUBSTITUTE($D$1,"'","''") &amp; "'!C400"), "")</f>
        <v>7</v>
      </c>
      <c r="F112">
        <f ca="1">IFERROR(INDIRECT("'" &amp; SUBSTITUTE($F$1,"'","''") &amp; "'!B400"), "")</f>
        <v>1.51</v>
      </c>
      <c r="G112">
        <f ca="1">IFERROR(INDIRECT("'" &amp; SUBSTITUTE($F$1,"'","''") &amp; "'!C400"), "")</f>
        <v>35</v>
      </c>
      <c r="H112">
        <f ca="1">IFERROR(INDIRECT("'" &amp; SUBSTITUTE($H$1,"'","''") &amp; "'!B400"), "")</f>
        <v>1.28</v>
      </c>
      <c r="I112">
        <f ca="1">IFERROR(INDIRECT("'" &amp; SUBSTITUTE($H$1,"'","''") &amp; "'!C400"), "")</f>
        <v>51</v>
      </c>
      <c r="J112">
        <f ca="1">IFERROR(INDIRECT("'" &amp; SUBSTITUTE($J$1,"'","''") &amp; "'!B400"), "")</f>
        <v>1.1100000000000001</v>
      </c>
      <c r="K112">
        <f ca="1">IFERROR(INDIRECT("'" &amp; SUBSTITUTE($J$1,"'","''") &amp; "'!C400"), "")</f>
        <v>34</v>
      </c>
      <c r="L112">
        <f ca="1">IFERROR(INDIRECT("'" &amp; SUBSTITUTE($L$1,"'","''") &amp; "'!B400"), "")</f>
        <v>0.81</v>
      </c>
      <c r="M112">
        <f ca="1">IFERROR(INDIRECT("'" &amp; SUBSTITUTE($L$1,"'","''") &amp; "'!C400"), "")</f>
        <v>79</v>
      </c>
      <c r="N112">
        <f ca="1">IFERROR(INDIRECT("'" &amp; SUBSTITUTE($N$1,"'","''") &amp; "'!B400"), "")</f>
        <v>1.3</v>
      </c>
      <c r="O112">
        <f ca="1">IFERROR(INDIRECT("'" &amp; SUBSTITUTE($N$1,"'","''") &amp; "'!C400"), "")</f>
        <v>42</v>
      </c>
      <c r="P112">
        <f ca="1">IFERROR(INDIRECT("'" &amp; SUBSTITUTE($P$1,"'","''") &amp; "'!B400"), "")</f>
        <v>1.35</v>
      </c>
      <c r="Q112">
        <f ca="1">IFERROR(INDIRECT("'" &amp; SUBSTITUTE($P$1,"'","''") &amp; "'!C400"), "")</f>
        <v>43</v>
      </c>
      <c r="R112">
        <f ca="1">IFERROR(INDIRECT("'" &amp; SUBSTITUTE($R$1,"'","''") &amp; "'!B400"), "")</f>
        <v>1.57</v>
      </c>
      <c r="S112">
        <f ca="1">IFERROR(INDIRECT("'" &amp; SUBSTITUTE($R$1,"'","''") &amp; "'!C400"), "")</f>
        <v>27</v>
      </c>
      <c r="T112">
        <f ca="1">IFERROR(INDIRECT("'" &amp; SUBSTITUTE($T$1,"'","''") &amp; "'!B400"), "")</f>
        <v>1.1299999999999999</v>
      </c>
      <c r="U112">
        <f ca="1">IFERROR(INDIRECT("'" &amp; SUBSTITUTE($T$1,"'","''") &amp; "'!C400"), "")</f>
        <v>60</v>
      </c>
      <c r="V112">
        <f ca="1">IFERROR(INDIRECT("'" &amp; SUBSTITUTE($V$1,"'","''") &amp; "'!B400"), "")</f>
        <v>2.5299999999999998</v>
      </c>
      <c r="W112">
        <f ca="1">IFERROR(INDIRECT("'" &amp; SUBSTITUTE($V$1,"'","''") &amp; "'!C400"), "")</f>
        <v>2</v>
      </c>
      <c r="X112">
        <f ca="1">IFERROR(INDIRECT("'" &amp; SUBSTITUTE($X$1,"'","''") &amp; "'!B400"), "")</f>
        <v>0.6</v>
      </c>
      <c r="Y112">
        <f ca="1">IFERROR(INDIRECT("'" &amp; SUBSTITUTE($X$1,"'","''") &amp; "'!C400"), "")</f>
        <v>93</v>
      </c>
    </row>
    <row r="113" spans="1:25" x14ac:dyDescent="0.2">
      <c r="A113" t="s">
        <v>111</v>
      </c>
      <c r="B113">
        <f ca="1">IFERROR(INDIRECT("'" &amp; SUBSTITUTE($B$1,"'","''") &amp; "'!B403"), "")</f>
        <v>1.01</v>
      </c>
      <c r="C113">
        <f ca="1">IFERROR(INDIRECT("'" &amp; SUBSTITUTE($B$1,"'","''") &amp; "'!C403"), "")</f>
        <v>38</v>
      </c>
      <c r="D113">
        <f ca="1">IFERROR(INDIRECT("'" &amp; SUBSTITUTE($D$1,"'","''") &amp; "'!B403"), "")</f>
        <v>1.67</v>
      </c>
      <c r="E113">
        <f ca="1">IFERROR(INDIRECT("'" &amp; SUBSTITUTE($D$1,"'","''") &amp; "'!C403"), "")</f>
        <v>80</v>
      </c>
      <c r="F113">
        <f ca="1">IFERROR(INDIRECT("'" &amp; SUBSTITUTE($F$1,"'","''") &amp; "'!B403"), "")</f>
        <v>2.61</v>
      </c>
      <c r="G113">
        <f ca="1">IFERROR(INDIRECT("'" &amp; SUBSTITUTE($F$1,"'","''") &amp; "'!C403"), "")</f>
        <v>97</v>
      </c>
      <c r="H113">
        <f ca="1">IFERROR(INDIRECT("'" &amp; SUBSTITUTE($H$1,"'","''") &amp; "'!B403"), "")</f>
        <v>1.22</v>
      </c>
      <c r="I113">
        <f ca="1">IFERROR(INDIRECT("'" &amp; SUBSTITUTE($H$1,"'","''") &amp; "'!C403"), "")</f>
        <v>56</v>
      </c>
      <c r="J113">
        <f ca="1">IFERROR(INDIRECT("'" &amp; SUBSTITUTE($J$1,"'","''") &amp; "'!B403"), "")</f>
        <v>0.51</v>
      </c>
      <c r="K113">
        <f ca="1">IFERROR(INDIRECT("'" &amp; SUBSTITUTE($J$1,"'","''") &amp; "'!C403"), "")</f>
        <v>45</v>
      </c>
      <c r="L113">
        <f ca="1">IFERROR(INDIRECT("'" &amp; SUBSTITUTE($L$1,"'","''") &amp; "'!B403"), "")</f>
        <v>0.28999999999999998</v>
      </c>
      <c r="M113">
        <f ca="1">IFERROR(INDIRECT("'" &amp; SUBSTITUTE($L$1,"'","''") &amp; "'!C403"), "")</f>
        <v>4</v>
      </c>
      <c r="N113">
        <f ca="1">IFERROR(INDIRECT("'" &amp; SUBSTITUTE($N$1,"'","''") &amp; "'!B403"), "")</f>
        <v>0.73</v>
      </c>
      <c r="O113">
        <f ca="1">IFERROR(INDIRECT("'" &amp; SUBSTITUTE($N$1,"'","''") &amp; "'!C403"), "")</f>
        <v>26</v>
      </c>
      <c r="P113">
        <f ca="1">IFERROR(INDIRECT("'" &amp; SUBSTITUTE($P$1,"'","''") &amp; "'!B403"), "")</f>
        <v>1.79</v>
      </c>
      <c r="Q113">
        <f ca="1">IFERROR(INDIRECT("'" &amp; SUBSTITUTE($P$1,"'","''") &amp; "'!C403"), "")</f>
        <v>84</v>
      </c>
      <c r="R113">
        <f ca="1">IFERROR(INDIRECT("'" &amp; SUBSTITUTE($R$1,"'","''") &amp; "'!B403"), "")</f>
        <v>0.76</v>
      </c>
      <c r="S113">
        <f ca="1">IFERROR(INDIRECT("'" &amp; SUBSTITUTE($R$1,"'","''") &amp; "'!C403"), "")</f>
        <v>28</v>
      </c>
      <c r="T113">
        <f ca="1">IFERROR(INDIRECT("'" &amp; SUBSTITUTE($T$1,"'","''") &amp; "'!B403"), "")</f>
        <v>0.54</v>
      </c>
      <c r="U113">
        <f ca="1">IFERROR(INDIRECT("'" &amp; SUBSTITUTE($T$1,"'","''") &amp; "'!C403"), "")</f>
        <v>18</v>
      </c>
      <c r="V113">
        <f ca="1">IFERROR(INDIRECT("'" &amp; SUBSTITUTE($V$1,"'","''") &amp; "'!B403"), "")</f>
        <v>0.44</v>
      </c>
      <c r="W113">
        <f ca="1">IFERROR(INDIRECT("'" &amp; SUBSTITUTE($V$1,"'","''") &amp; "'!C403"), "")</f>
        <v>9</v>
      </c>
      <c r="X113">
        <f ca="1">IFERROR(INDIRECT("'" &amp; SUBSTITUTE($X$1,"'","''") &amp; "'!B403"), "")</f>
        <v>0.28000000000000003</v>
      </c>
      <c r="Y113">
        <f ca="1">IFERROR(INDIRECT("'" &amp; SUBSTITUTE($X$1,"'","''") &amp; "'!C403"), "")</f>
        <v>4</v>
      </c>
    </row>
    <row r="114" spans="1:25" x14ac:dyDescent="0.2">
      <c r="A114" t="s">
        <v>112</v>
      </c>
      <c r="B114">
        <f ca="1">IFERROR(INDIRECT("'" &amp; SUBSTITUTE($B$1,"'","''") &amp; "'!B406"), "")</f>
        <v>0.26</v>
      </c>
      <c r="C114">
        <f ca="1">IFERROR(INDIRECT("'" &amp; SUBSTITUTE($B$1,"'","''") &amp; "'!C406"), "")</f>
        <v>5</v>
      </c>
      <c r="D114">
        <f ca="1">IFERROR(INDIRECT("'" &amp; SUBSTITUTE($D$1,"'","''") &amp; "'!B406"), "")</f>
        <v>0</v>
      </c>
      <c r="E114">
        <f ca="1">IFERROR(INDIRECT("'" &amp; SUBSTITUTE($D$1,"'","''") &amp; "'!C406"), "")</f>
        <v>77</v>
      </c>
      <c r="F114">
        <f ca="1">IFERROR(INDIRECT("'" &amp; SUBSTITUTE($F$1,"'","''") &amp; "'!B406"), "")</f>
        <v>0.05</v>
      </c>
      <c r="G114">
        <f ca="1">IFERROR(INDIRECT("'" &amp; SUBSTITUTE($F$1,"'","''") &amp; "'!C406"), "")</f>
        <v>39</v>
      </c>
      <c r="H114">
        <f ca="1">IFERROR(INDIRECT("'" &amp; SUBSTITUTE($H$1,"'","''") &amp; "'!B406"), "")</f>
        <v>0</v>
      </c>
      <c r="I114">
        <f ca="1">IFERROR(INDIRECT("'" &amp; SUBSTITUTE($H$1,"'","''") &amp; "'!C406"), "")</f>
        <v>77</v>
      </c>
      <c r="J114">
        <f ca="1">IFERROR(INDIRECT("'" &amp; SUBSTITUTE($J$1,"'","''") &amp; "'!B406"), "")</f>
        <v>0.03</v>
      </c>
      <c r="K114">
        <f ca="1">IFERROR(INDIRECT("'" &amp; SUBSTITUTE($J$1,"'","''") &amp; "'!C406"), "")</f>
        <v>53</v>
      </c>
      <c r="L114">
        <f ca="1">IFERROR(INDIRECT("'" &amp; SUBSTITUTE($L$1,"'","''") &amp; "'!B406"), "")</f>
        <v>0</v>
      </c>
      <c r="M114">
        <f ca="1">IFERROR(INDIRECT("'" &amp; SUBSTITUTE($L$1,"'","''") &amp; "'!C406"), "")</f>
        <v>82</v>
      </c>
      <c r="N114">
        <f ca="1">IFERROR(INDIRECT("'" &amp; SUBSTITUTE($N$1,"'","''") &amp; "'!B406"), "")</f>
        <v>0.24</v>
      </c>
      <c r="O114">
        <f ca="1">IFERROR(INDIRECT("'" &amp; SUBSTITUTE($N$1,"'","''") &amp; "'!C406"), "")</f>
        <v>14</v>
      </c>
      <c r="P114">
        <f ca="1">IFERROR(INDIRECT("'" &amp; SUBSTITUTE($P$1,"'","''") &amp; "'!B406"), "")</f>
        <v>7.0000000000000007E-2</v>
      </c>
      <c r="Q114">
        <f ca="1">IFERROR(INDIRECT("'" &amp; SUBSTITUTE($P$1,"'","''") &amp; "'!C406"), "")</f>
        <v>32</v>
      </c>
      <c r="R114">
        <f ca="1">IFERROR(INDIRECT("'" &amp; SUBSTITUTE($R$1,"'","''") &amp; "'!B406"), "")</f>
        <v>0.05</v>
      </c>
      <c r="S114">
        <f ca="1">IFERROR(INDIRECT("'" &amp; SUBSTITUTE($R$1,"'","''") &amp; "'!C406"), "")</f>
        <v>45</v>
      </c>
      <c r="T114">
        <f ca="1">IFERROR(INDIRECT("'" &amp; SUBSTITUTE($T$1,"'","''") &amp; "'!B406"), "")</f>
        <v>0.03</v>
      </c>
      <c r="U114">
        <f ca="1">IFERROR(INDIRECT("'" &amp; SUBSTITUTE($T$1,"'","''") &amp; "'!C406"), "")</f>
        <v>57</v>
      </c>
      <c r="V114">
        <f ca="1">IFERROR(INDIRECT("'" &amp; SUBSTITUTE($V$1,"'","''") &amp; "'!B406"), "")</f>
        <v>0.11</v>
      </c>
      <c r="W114">
        <f ca="1">IFERROR(INDIRECT("'" &amp; SUBSTITUTE($V$1,"'","''") &amp; "'!C406"), "")</f>
        <v>29</v>
      </c>
      <c r="X114">
        <f ca="1">IFERROR(INDIRECT("'" &amp; SUBSTITUTE($X$1,"'","''") &amp; "'!B406"), "")</f>
        <v>0</v>
      </c>
      <c r="Y114">
        <f ca="1">IFERROR(INDIRECT("'" &amp; SUBSTITUTE($X$1,"'","''") &amp; "'!C406"), "")</f>
        <v>77</v>
      </c>
    </row>
    <row r="115" spans="1:25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41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41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41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41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44</v>
      </c>
      <c r="L115">
        <f ca="1">IFERROR(INDIRECT("'" &amp; SUBSTITUTE($L$1,"'","''") &amp; "'!B419"), "")</f>
        <v>0</v>
      </c>
      <c r="M115">
        <f ca="1">IFERROR(INDIRECT("'" &amp; SUBSTITUTE($L$1,"'","''") &amp; "'!C419"), "")</f>
        <v>44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44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43</v>
      </c>
      <c r="R115">
        <f ca="1">IFERROR(INDIRECT("'" &amp; SUBSTITUTE($R$1,"'","''") &amp; "'!B419"), "")</f>
        <v>0</v>
      </c>
      <c r="S115">
        <f ca="1">IFERROR(INDIRECT("'" &amp; SUBSTITUTE($R$1,"'","''") &amp; "'!C419"), "")</f>
        <v>43</v>
      </c>
      <c r="T115">
        <f ca="1">IFERROR(INDIRECT("'" &amp; SUBSTITUTE($T$1,"'","''") &amp; "'!B419"), "")</f>
        <v>0</v>
      </c>
      <c r="U115">
        <f ca="1">IFERROR(INDIRECT("'" &amp; SUBSTITUTE($T$1,"'","''") &amp; "'!C419"), "")</f>
        <v>43</v>
      </c>
      <c r="V115">
        <f ca="1">IFERROR(INDIRECT("'" &amp; SUBSTITUTE($V$1,"'","''") &amp; "'!B419"), "")</f>
        <v>0</v>
      </c>
      <c r="W115">
        <f ca="1">IFERROR(INDIRECT("'" &amp; SUBSTITUTE($V$1,"'","''") &amp; "'!C419"), "")</f>
        <v>44</v>
      </c>
      <c r="X115">
        <f ca="1">IFERROR(INDIRECT("'" &amp; SUBSTITUTE($X$1,"'","''") &amp; "'!B419"), "")</f>
        <v>0</v>
      </c>
      <c r="Y115">
        <f ca="1">IFERROR(INDIRECT("'" &amp; SUBSTITUTE($X$1,"'","''") &amp; "'!C419"), "")</f>
        <v>42</v>
      </c>
    </row>
    <row r="116" spans="1:25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63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63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63</v>
      </c>
      <c r="H116">
        <f ca="1">IFERROR(INDIRECT("'" &amp; SUBSTITUTE($H$1,"'","''") &amp; "'!B422"), "")</f>
        <v>0.03</v>
      </c>
      <c r="I116">
        <f ca="1">IFERROR(INDIRECT("'" &amp; SUBSTITUTE($H$1,"'","''") &amp; "'!C422"), "")</f>
        <v>21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73</v>
      </c>
      <c r="L116">
        <f ca="1">IFERROR(INDIRECT("'" &amp; SUBSTITUTE($L$1,"'","''") &amp; "'!B422"), "")</f>
        <v>0</v>
      </c>
      <c r="M116">
        <f ca="1">IFERROR(INDIRECT("'" &amp; SUBSTITUTE($L$1,"'","''") &amp; "'!C422"), "")</f>
        <v>60</v>
      </c>
      <c r="N116">
        <f ca="1">IFERROR(INDIRECT("'" &amp; SUBSTITUTE($N$1,"'","''") &amp; "'!B422"), "")</f>
        <v>0</v>
      </c>
      <c r="O116">
        <f ca="1">IFERROR(INDIRECT("'" &amp; SUBSTITUTE($N$1,"'","''") &amp; "'!C422"), "")</f>
        <v>60</v>
      </c>
      <c r="P116">
        <f ca="1">IFERROR(INDIRECT("'" &amp; SUBSTITUTE($P$1,"'","''") &amp; "'!B422"), "")</f>
        <v>0.04</v>
      </c>
      <c r="Q116">
        <f ca="1">IFERROR(INDIRECT("'" &amp; SUBSTITUTE($P$1,"'","''") &amp; "'!C422"), "")</f>
        <v>8</v>
      </c>
      <c r="R116">
        <f ca="1">IFERROR(INDIRECT("'" &amp; SUBSTITUTE($R$1,"'","''") &amp; "'!B422"), "")</f>
        <v>0</v>
      </c>
      <c r="S116">
        <f ca="1">IFERROR(INDIRECT("'" &amp; SUBSTITUTE($R$1,"'","''") &amp; "'!C422"), "")</f>
        <v>57</v>
      </c>
      <c r="T116">
        <f ca="1">IFERROR(INDIRECT("'" &amp; SUBSTITUTE($T$1,"'","''") &amp; "'!B422"), "")</f>
        <v>0.03</v>
      </c>
      <c r="U116">
        <f ca="1">IFERROR(INDIRECT("'" &amp; SUBSTITUTE($T$1,"'","''") &amp; "'!C422"), "")</f>
        <v>12</v>
      </c>
      <c r="V116">
        <f ca="1">IFERROR(INDIRECT("'" &amp; SUBSTITUTE($V$1,"'","''") &amp; "'!B422"), "")</f>
        <v>0</v>
      </c>
      <c r="W116">
        <f ca="1">IFERROR(INDIRECT("'" &amp; SUBSTITUTE($V$1,"'","''") &amp; "'!C422"), "")</f>
        <v>60</v>
      </c>
      <c r="X116">
        <f ca="1">IFERROR(INDIRECT("'" &amp; SUBSTITUTE($X$1,"'","''") &amp; "'!B422"), "")</f>
        <v>0</v>
      </c>
      <c r="Y116">
        <f ca="1">IFERROR(INDIRECT("'" &amp; SUBSTITUTE($X$1,"'","''") &amp; "'!C422"), "")</f>
        <v>59</v>
      </c>
    </row>
    <row r="117" spans="1:25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52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52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52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52</v>
      </c>
      <c r="J117">
        <f ca="1">IFERROR(INDIRECT("'" &amp; SUBSTITUTE($J$1,"'","''") &amp; "'!B425"), "")</f>
        <v>0.06</v>
      </c>
      <c r="K117">
        <f ca="1">IFERROR(INDIRECT("'" &amp; SUBSTITUTE($J$1,"'","''") &amp; "'!C425"), "")</f>
        <v>3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52</v>
      </c>
      <c r="N117">
        <f ca="1">IFERROR(INDIRECT("'" &amp; SUBSTITUTE($N$1,"'","''") &amp; "'!B425"), "")</f>
        <v>0</v>
      </c>
      <c r="O117">
        <f ca="1">IFERROR(INDIRECT("'" &amp; SUBSTITUTE($N$1,"'","''") &amp; "'!C425"), "")</f>
        <v>52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54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54</v>
      </c>
      <c r="T117">
        <f ca="1">IFERROR(INDIRECT("'" &amp; SUBSTITUTE($T$1,"'","''") &amp; "'!B425"), "")</f>
        <v>0</v>
      </c>
      <c r="U117">
        <f ca="1">IFERROR(INDIRECT("'" &amp; SUBSTITUTE($T$1,"'","''") &amp; "'!C425"), "")</f>
        <v>54</v>
      </c>
      <c r="V117">
        <f ca="1">IFERROR(INDIRECT("'" &amp; SUBSTITUTE($V$1,"'","''") &amp; "'!B425"), "")</f>
        <v>0</v>
      </c>
      <c r="W117">
        <f ca="1">IFERROR(INDIRECT("'" &amp; SUBSTITUTE($V$1,"'","''") &amp; "'!C425"), "")</f>
        <v>52</v>
      </c>
      <c r="X117">
        <f ca="1">IFERROR(INDIRECT("'" &amp; SUBSTITUTE($X$1,"'","''") &amp; "'!B425"), "")</f>
        <v>0</v>
      </c>
      <c r="Y117">
        <f ca="1">IFERROR(INDIRECT("'" &amp; SUBSTITUTE($X$1,"'","''") &amp; "'!C425"), "")</f>
        <v>51</v>
      </c>
    </row>
    <row r="118" spans="1:25" x14ac:dyDescent="0.2">
      <c r="A118" t="s">
        <v>116</v>
      </c>
      <c r="B118">
        <f ca="1">IFERROR(INDIRECT("'" &amp; SUBSTITUTE($B$1,"'","''") &amp; "'!B428"), "")</f>
        <v>3.15</v>
      </c>
      <c r="C118">
        <f ca="1">IFERROR(INDIRECT("'" &amp; SUBSTITUTE($B$1,"'","''") &amp; "'!C428"), "")</f>
        <v>1</v>
      </c>
      <c r="D118">
        <f ca="1">IFERROR(INDIRECT("'" &amp; SUBSTITUTE($D$1,"'","''") &amp; "'!B428"), "")</f>
        <v>5.84</v>
      </c>
      <c r="E118">
        <f ca="1">IFERROR(INDIRECT("'" &amp; SUBSTITUTE($D$1,"'","''") &amp; "'!C428"), "")</f>
        <v>87</v>
      </c>
      <c r="F118">
        <f ca="1">IFERROR(INDIRECT("'" &amp; SUBSTITUTE($F$1,"'","''") &amp; "'!B428"), "")</f>
        <v>3.29</v>
      </c>
      <c r="G118">
        <f ca="1">IFERROR(INDIRECT("'" &amp; SUBSTITUTE($F$1,"'","''") &amp; "'!C428"), "")</f>
        <v>2</v>
      </c>
      <c r="H118">
        <f ca="1">IFERROR(INDIRECT("'" &amp; SUBSTITUTE($H$1,"'","''") &amp; "'!B428"), "")</f>
        <v>7.16</v>
      </c>
      <c r="I118">
        <f ca="1">IFERROR(INDIRECT("'" &amp; SUBSTITUTE($H$1,"'","''") &amp; "'!C428"), "")</f>
        <v>98</v>
      </c>
      <c r="J118">
        <f ca="1">IFERROR(INDIRECT("'" &amp; SUBSTITUTE($J$1,"'","''") &amp; "'!B428"), "")</f>
        <v>3.57</v>
      </c>
      <c r="K118">
        <f ca="1">IFERROR(INDIRECT("'" &amp; SUBSTITUTE($J$1,"'","''") &amp; "'!C428"), "")</f>
        <v>45</v>
      </c>
      <c r="L118">
        <f ca="1">IFERROR(INDIRECT("'" &amp; SUBSTITUTE($L$1,"'","''") &amp; "'!B428"), "")</f>
        <v>6.85</v>
      </c>
      <c r="M118">
        <f ca="1">IFERROR(INDIRECT("'" &amp; SUBSTITUTE($L$1,"'","''") &amp; "'!C428"), "")</f>
        <v>90</v>
      </c>
      <c r="N118">
        <f ca="1">IFERROR(INDIRECT("'" &amp; SUBSTITUTE($N$1,"'","''") &amp; "'!B428"), "")</f>
        <v>6.03</v>
      </c>
      <c r="O118">
        <f ca="1">IFERROR(INDIRECT("'" &amp; SUBSTITUTE($N$1,"'","''") &amp; "'!C428"), "")</f>
        <v>69</v>
      </c>
      <c r="P118">
        <f ca="1">IFERROR(INDIRECT("'" &amp; SUBSTITUTE($P$1,"'","''") &amp; "'!B428"), "")</f>
        <v>5.62</v>
      </c>
      <c r="Q118">
        <f ca="1">IFERROR(INDIRECT("'" &amp; SUBSTITUTE($P$1,"'","''") &amp; "'!C428"), "")</f>
        <v>34</v>
      </c>
      <c r="R118">
        <f ca="1">IFERROR(INDIRECT("'" &amp; SUBSTITUTE($R$1,"'","''") &amp; "'!B428"), "")</f>
        <v>5.36</v>
      </c>
      <c r="S118">
        <f ca="1">IFERROR(INDIRECT("'" &amp; SUBSTITUTE($R$1,"'","''") &amp; "'!C428"), "")</f>
        <v>27</v>
      </c>
      <c r="T118">
        <f ca="1">IFERROR(INDIRECT("'" &amp; SUBSTITUTE($T$1,"'","''") &amp; "'!B428"), "")</f>
        <v>7.07</v>
      </c>
      <c r="U118">
        <f ca="1">IFERROR(INDIRECT("'" &amp; SUBSTITUTE($T$1,"'","''") &amp; "'!C428"), "")</f>
        <v>78</v>
      </c>
      <c r="V118">
        <f ca="1">IFERROR(INDIRECT("'" &amp; SUBSTITUTE($V$1,"'","''") &amp; "'!B428"), "")</f>
        <v>6.81</v>
      </c>
      <c r="W118">
        <f ca="1">IFERROR(INDIRECT("'" &amp; SUBSTITUTE($V$1,"'","''") &amp; "'!C428"), "")</f>
        <v>89</v>
      </c>
      <c r="X118">
        <f ca="1">IFERROR(INDIRECT("'" &amp; SUBSTITUTE($X$1,"'","''") &amp; "'!B428"), "")</f>
        <v>4.9400000000000004</v>
      </c>
      <c r="Y118">
        <f ca="1">IFERROR(INDIRECT("'" &amp; SUBSTITUTE($X$1,"'","''") &amp; "'!C428"), "")</f>
        <v>17</v>
      </c>
    </row>
    <row r="119" spans="1:25" x14ac:dyDescent="0.2">
      <c r="A119" t="s">
        <v>117</v>
      </c>
      <c r="B119">
        <f ca="1">IFERROR(INDIRECT("'" &amp; SUBSTITUTE($B$1,"'","''") &amp; "'!B432"), "")</f>
        <v>2.5</v>
      </c>
      <c r="C119">
        <f ca="1">IFERROR(INDIRECT("'" &amp; SUBSTITUTE($B$1,"'","''") &amp; "'!C432"), "")</f>
        <v>96</v>
      </c>
      <c r="D119">
        <f ca="1">IFERROR(INDIRECT("'" &amp; SUBSTITUTE($D$1,"'","''") &amp; "'!B432"), "")</f>
        <v>0.51</v>
      </c>
      <c r="E119">
        <f ca="1">IFERROR(INDIRECT("'" &amp; SUBSTITUTE($D$1,"'","''") &amp; "'!C432"), "")</f>
        <v>25</v>
      </c>
      <c r="F119">
        <f ca="1">IFERROR(INDIRECT("'" &amp; SUBSTITUTE($F$1,"'","''") &amp; "'!B432"), "")</f>
        <v>0.56999999999999995</v>
      </c>
      <c r="G119">
        <f ca="1">IFERROR(INDIRECT("'" &amp; SUBSTITUTE($F$1,"'","''") &amp; "'!C432"), "")</f>
        <v>29</v>
      </c>
      <c r="H119">
        <f ca="1">IFERROR(INDIRECT("'" &amp; SUBSTITUTE($H$1,"'","''") &amp; "'!B432"), "")</f>
        <v>0.1</v>
      </c>
      <c r="I119">
        <f ca="1">IFERROR(INDIRECT("'" &amp; SUBSTITUTE($H$1,"'","''") &amp; "'!C432"), "")</f>
        <v>2</v>
      </c>
      <c r="J119">
        <f ca="1">IFERROR(INDIRECT("'" &amp; SUBSTITUTE($J$1,"'","''") &amp; "'!B432"), "")</f>
        <v>1.91</v>
      </c>
      <c r="K119">
        <f ca="1">IFERROR(INDIRECT("'" &amp; SUBSTITUTE($J$1,"'","''") &amp; "'!C432"), "")</f>
        <v>41</v>
      </c>
      <c r="L119">
        <f ca="1">IFERROR(INDIRECT("'" &amp; SUBSTITUTE($L$1,"'","''") &amp; "'!B432"), "")</f>
        <v>0</v>
      </c>
      <c r="M119">
        <f ca="1">IFERROR(INDIRECT("'" &amp; SUBSTITUTE($L$1,"'","''") &amp; "'!C432"), "")</f>
        <v>1</v>
      </c>
      <c r="N119">
        <f ca="1">IFERROR(INDIRECT("'" &amp; SUBSTITUTE($N$1,"'","''") &amp; "'!B432"), "")</f>
        <v>1.06</v>
      </c>
      <c r="O119">
        <f ca="1">IFERROR(INDIRECT("'" &amp; SUBSTITUTE($N$1,"'","''") &amp; "'!C432"), "")</f>
        <v>71</v>
      </c>
      <c r="P119">
        <f ca="1">IFERROR(INDIRECT("'" &amp; SUBSTITUTE($P$1,"'","''") &amp; "'!B432"), "")</f>
        <v>0.8</v>
      </c>
      <c r="Q119">
        <f ca="1">IFERROR(INDIRECT("'" &amp; SUBSTITUTE($P$1,"'","''") &amp; "'!C432"), "")</f>
        <v>49</v>
      </c>
      <c r="R119">
        <f ca="1">IFERROR(INDIRECT("'" &amp; SUBSTITUTE($R$1,"'","''") &amp; "'!B432"), "")</f>
        <v>0.4</v>
      </c>
      <c r="S119">
        <f ca="1">IFERROR(INDIRECT("'" &amp; SUBSTITUTE($R$1,"'","''") &amp; "'!C432"), "")</f>
        <v>16</v>
      </c>
      <c r="T119">
        <f ca="1">IFERROR(INDIRECT("'" &amp; SUBSTITUTE($T$1,"'","''") &amp; "'!B432"), "")</f>
        <v>0.75</v>
      </c>
      <c r="U119">
        <f ca="1">IFERROR(INDIRECT("'" &amp; SUBSTITUTE($T$1,"'","''") &amp; "'!C432"), "")</f>
        <v>41</v>
      </c>
      <c r="V119">
        <f ca="1">IFERROR(INDIRECT("'" &amp; SUBSTITUTE($V$1,"'","''") &amp; "'!B432"), "")</f>
        <v>0.66</v>
      </c>
      <c r="W119">
        <f ca="1">IFERROR(INDIRECT("'" &amp; SUBSTITUTE($V$1,"'","''") &amp; "'!C432"), "")</f>
        <v>41</v>
      </c>
      <c r="X119">
        <f ca="1">IFERROR(INDIRECT("'" &amp; SUBSTITUTE($X$1,"'","''") &amp; "'!B432"), "")</f>
        <v>1.38</v>
      </c>
      <c r="Y119">
        <f ca="1">IFERROR(INDIRECT("'" &amp; SUBSTITUTE($X$1,"'","''") &amp; "'!C432"), "")</f>
        <v>75</v>
      </c>
    </row>
    <row r="120" spans="1:25" x14ac:dyDescent="0.2">
      <c r="A120" t="s">
        <v>118</v>
      </c>
      <c r="B120">
        <f ca="1">IFERROR(INDIRECT("'" &amp; SUBSTITUTE($B$1,"'","''") &amp; "'!B435"), "")</f>
        <v>2.73</v>
      </c>
      <c r="C120">
        <f ca="1">IFERROR(INDIRECT("'" &amp; SUBSTITUTE($B$1,"'","''") &amp; "'!C435"), "")</f>
        <v>1</v>
      </c>
      <c r="D120">
        <f ca="1">IFERROR(INDIRECT("'" &amp; SUBSTITUTE($D$1,"'","''") &amp; "'!B435"), "")</f>
        <v>0.67</v>
      </c>
      <c r="E120">
        <f ca="1">IFERROR(INDIRECT("'" &amp; SUBSTITUTE($D$1,"'","''") &amp; "'!C435"), "")</f>
        <v>69</v>
      </c>
      <c r="F120">
        <f ca="1">IFERROR(INDIRECT("'" &amp; SUBSTITUTE($F$1,"'","''") &amp; "'!B435"), "")</f>
        <v>0.94</v>
      </c>
      <c r="G120">
        <f ca="1">IFERROR(INDIRECT("'" &amp; SUBSTITUTE($F$1,"'","''") &amp; "'!C435"), "")</f>
        <v>43</v>
      </c>
      <c r="H120">
        <f ca="1">IFERROR(INDIRECT("'" &amp; SUBSTITUTE($H$1,"'","''") &amp; "'!B435"), "")</f>
        <v>0.35</v>
      </c>
      <c r="I120">
        <f ca="1">IFERROR(INDIRECT("'" &amp; SUBSTITUTE($H$1,"'","''") &amp; "'!C435"), "")</f>
        <v>94</v>
      </c>
      <c r="J120">
        <f ca="1">IFERROR(INDIRECT("'" &amp; SUBSTITUTE($J$1,"'","''") &amp; "'!B435"), "")</f>
        <v>0.97</v>
      </c>
      <c r="K120">
        <f ca="1">IFERROR(INDIRECT("'" &amp; SUBSTITUTE($J$1,"'","''") &amp; "'!C435"), "")</f>
        <v>85</v>
      </c>
      <c r="L120">
        <f ca="1">IFERROR(INDIRECT("'" &amp; SUBSTITUTE($L$1,"'","''") &amp; "'!B435"), "")</f>
        <v>0.28999999999999998</v>
      </c>
      <c r="M120">
        <f ca="1">IFERROR(INDIRECT("'" &amp; SUBSTITUTE($L$1,"'","''") &amp; "'!C435"), "")</f>
        <v>97</v>
      </c>
      <c r="N120">
        <f ca="1">IFERROR(INDIRECT("'" &amp; SUBSTITUTE($N$1,"'","''") &amp; "'!B435"), "")</f>
        <v>1.24</v>
      </c>
      <c r="O120">
        <f ca="1">IFERROR(INDIRECT("'" &amp; SUBSTITUTE($N$1,"'","''") &amp; "'!C435"), "")</f>
        <v>29</v>
      </c>
      <c r="P120">
        <f ca="1">IFERROR(INDIRECT("'" &amp; SUBSTITUTE($P$1,"'","''") &amp; "'!B435"), "")</f>
        <v>1.0900000000000001</v>
      </c>
      <c r="Q120">
        <f ca="1">IFERROR(INDIRECT("'" &amp; SUBSTITUTE($P$1,"'","''") &amp; "'!C435"), "")</f>
        <v>38</v>
      </c>
      <c r="R120">
        <f ca="1">IFERROR(INDIRECT("'" &amp; SUBSTITUTE($R$1,"'","''") &amp; "'!B435"), "")</f>
        <v>1.1599999999999999</v>
      </c>
      <c r="S120">
        <f ca="1">IFERROR(INDIRECT("'" &amp; SUBSTITUTE($R$1,"'","''") &amp; "'!C435"), "")</f>
        <v>30</v>
      </c>
      <c r="T120">
        <f ca="1">IFERROR(INDIRECT("'" &amp; SUBSTITUTE($T$1,"'","''") &amp; "'!B435"), "")</f>
        <v>0.75</v>
      </c>
      <c r="U120">
        <f ca="1">IFERROR(INDIRECT("'" &amp; SUBSTITUTE($T$1,"'","''") &amp; "'!C435"), "")</f>
        <v>67</v>
      </c>
      <c r="V120">
        <f ca="1">IFERROR(INDIRECT("'" &amp; SUBSTITUTE($V$1,"'","''") &amp; "'!B435"), "")</f>
        <v>1.76</v>
      </c>
      <c r="W120">
        <f ca="1">IFERROR(INDIRECT("'" &amp; SUBSTITUTE($V$1,"'","''") &amp; "'!C435"), "")</f>
        <v>10</v>
      </c>
      <c r="X120">
        <f ca="1">IFERROR(INDIRECT("'" &amp; SUBSTITUTE($X$1,"'","''") &amp; "'!B435"), "")</f>
        <v>1.52</v>
      </c>
      <c r="Y120">
        <f ca="1">IFERROR(INDIRECT("'" &amp; SUBSTITUTE($X$1,"'","''") &amp; "'!C435"), "")</f>
        <v>24</v>
      </c>
    </row>
    <row r="121" spans="1:25" x14ac:dyDescent="0.2">
      <c r="A121" t="s">
        <v>119</v>
      </c>
      <c r="B121">
        <f ca="1">IFERROR(INDIRECT("'" &amp; SUBSTITUTE($B$1,"'","''") &amp; "'!B438"), "")</f>
        <v>0.47799999999999998</v>
      </c>
      <c r="C121">
        <f ca="1">IFERROR(INDIRECT("'" &amp; SUBSTITUTE($B$1,"'","''") &amp; "'!C438"), "")</f>
        <v>45</v>
      </c>
      <c r="D121">
        <f ca="1">IFERROR(INDIRECT("'" &amp; SUBSTITUTE($D$1,"'","''") &amp; "'!B438"), "")</f>
        <v>0.436</v>
      </c>
      <c r="E121">
        <f ca="1">IFERROR(INDIRECT("'" &amp; SUBSTITUTE($D$1,"'","''") &amp; "'!C438"), "")</f>
        <v>32</v>
      </c>
      <c r="F121">
        <f ca="1">IFERROR(INDIRECT("'" &amp; SUBSTITUTE($F$1,"'","''") &amp; "'!B438"), "")</f>
        <v>0.379</v>
      </c>
      <c r="G121">
        <f ca="1">IFERROR(INDIRECT("'" &amp; SUBSTITUTE($F$1,"'","''") &amp; "'!C438"), "")</f>
        <v>18</v>
      </c>
      <c r="H121">
        <f ca="1">IFERROR(INDIRECT("'" &amp; SUBSTITUTE($H$1,"'","''") &amp; "'!B438"), "")</f>
        <v>0.214</v>
      </c>
      <c r="I121">
        <f ca="1">IFERROR(INDIRECT("'" &amp; SUBSTITUTE($H$1,"'","''") &amp; "'!C438"), "")</f>
        <v>4</v>
      </c>
      <c r="J121">
        <f ca="1">IFERROR(INDIRECT("'" &amp; SUBSTITUTE($J$1,"'","''") &amp; "'!B438"), "")</f>
        <v>0.66300000000000003</v>
      </c>
      <c r="K121">
        <f ca="1">IFERROR(INDIRECT("'" &amp; SUBSTITUTE($J$1,"'","''") &amp; "'!C438"), "")</f>
        <v>78</v>
      </c>
      <c r="L121">
        <f ca="1">IFERROR(INDIRECT("'" &amp; SUBSTITUTE($L$1,"'","''") &amp; "'!B438"), "")</f>
        <v>0</v>
      </c>
      <c r="M121">
        <f ca="1">IFERROR(INDIRECT("'" &amp; SUBSTITUTE($L$1,"'","''") &amp; "'!C438"), "")</f>
        <v>1</v>
      </c>
      <c r="N121">
        <f ca="1">IFERROR(INDIRECT("'" &amp; SUBSTITUTE($N$1,"'","''") &amp; "'!B438"), "")</f>
        <v>0.46100000000000002</v>
      </c>
      <c r="O121">
        <f ca="1">IFERROR(INDIRECT("'" &amp; SUBSTITUTE($N$1,"'","''") &amp; "'!C438"), "")</f>
        <v>55</v>
      </c>
      <c r="P121">
        <f ca="1">IFERROR(INDIRECT("'" &amp; SUBSTITUTE($P$1,"'","''") &amp; "'!B438"), "")</f>
        <v>0.42299999999999999</v>
      </c>
      <c r="Q121">
        <f ca="1">IFERROR(INDIRECT("'" &amp; SUBSTITUTE($P$1,"'","''") &amp; "'!C438"), "")</f>
        <v>37</v>
      </c>
      <c r="R121">
        <f ca="1">IFERROR(INDIRECT("'" &amp; SUBSTITUTE($R$1,"'","''") &amp; "'!B438"), "")</f>
        <v>0.25800000000000001</v>
      </c>
      <c r="S121">
        <f ca="1">IFERROR(INDIRECT("'" &amp; SUBSTITUTE($R$1,"'","''") &amp; "'!C438"), "")</f>
        <v>8</v>
      </c>
      <c r="T121">
        <f ca="1">IFERROR(INDIRECT("'" &amp; SUBSTITUTE($T$1,"'","''") &amp; "'!B438"), "")</f>
        <v>0.5</v>
      </c>
      <c r="U121">
        <f ca="1">IFERROR(INDIRECT("'" &amp; SUBSTITUTE($T$1,"'","''") &amp; "'!C438"), "")</f>
        <v>56</v>
      </c>
      <c r="V121">
        <f ca="1">IFERROR(INDIRECT("'" &amp; SUBSTITUTE($V$1,"'","''") &amp; "'!B438"), "")</f>
        <v>0.27300000000000002</v>
      </c>
      <c r="W121">
        <f ca="1">IFERROR(INDIRECT("'" &amp; SUBSTITUTE($V$1,"'","''") &amp; "'!C438"), "")</f>
        <v>14</v>
      </c>
      <c r="X121">
        <f ca="1">IFERROR(INDIRECT("'" &amp; SUBSTITUTE($X$1,"'","''") &amp; "'!B438"), "")</f>
        <v>0.47599999999999998</v>
      </c>
      <c r="Y121">
        <f ca="1">IFERROR(INDIRECT("'" &amp; SUBSTITUTE($X$1,"'","''") &amp; "'!C438"), "")</f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F10" sqref="F10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0.13</v>
      </c>
      <c r="C2" s="8">
        <v>74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0.13</v>
      </c>
      <c r="C5" s="8">
        <v>71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0.26</v>
      </c>
      <c r="C8" s="8">
        <v>73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0.13</v>
      </c>
      <c r="C11" s="8">
        <v>76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0.13</v>
      </c>
      <c r="C20" s="8">
        <v>79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59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0.19</v>
      </c>
      <c r="C26" s="8">
        <v>90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0.19</v>
      </c>
      <c r="C29" s="8">
        <v>92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0.13</v>
      </c>
      <c r="C32" s="8">
        <v>77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0.32</v>
      </c>
      <c r="C35" s="8">
        <v>89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0.68</v>
      </c>
      <c r="C39" s="8">
        <v>16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1.2</v>
      </c>
      <c r="C42" s="8">
        <v>1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2.96</v>
      </c>
      <c r="C45" s="8">
        <v>79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0.13</v>
      </c>
      <c r="C50" s="9">
        <v>74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1.59</v>
      </c>
      <c r="C53" s="8">
        <v>84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0.52</v>
      </c>
      <c r="C56" s="8">
        <v>82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0.32700000000000001</v>
      </c>
      <c r="C59" s="8">
        <v>65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0.08</v>
      </c>
      <c r="C62" s="8">
        <v>56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0.25</v>
      </c>
      <c r="C65" s="8">
        <v>49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14.7</v>
      </c>
      <c r="C68" s="8">
        <v>90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34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0.19</v>
      </c>
      <c r="C81" s="9">
        <v>90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0.19</v>
      </c>
      <c r="C84" s="9">
        <v>92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0.12</v>
      </c>
      <c r="C87" s="8">
        <v>89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-0.06</v>
      </c>
      <c r="C90" s="8">
        <v>7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-0.06</v>
      </c>
      <c r="C93" s="8">
        <v>7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12.31</v>
      </c>
      <c r="C98" s="8">
        <v>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18.87</v>
      </c>
      <c r="C101" s="8">
        <v>1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0.65200000000000002</v>
      </c>
      <c r="C104" s="8">
        <v>1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169.48</v>
      </c>
      <c r="C107" s="8">
        <v>1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49.24</v>
      </c>
      <c r="C110" s="8">
        <v>1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6.98</v>
      </c>
      <c r="C114" s="8">
        <v>1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9.9700000000000006</v>
      </c>
      <c r="C117" s="8">
        <v>1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0.7</v>
      </c>
      <c r="C120" s="8">
        <v>1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3.99</v>
      </c>
      <c r="C124" s="8">
        <v>1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5.55</v>
      </c>
      <c r="C127" s="8">
        <v>1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0.71899999999999997</v>
      </c>
      <c r="C130" s="8">
        <v>1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0.49</v>
      </c>
      <c r="C134" s="8">
        <v>1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1.1000000000000001</v>
      </c>
      <c r="C137" s="8">
        <v>1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0.441</v>
      </c>
      <c r="C140" s="8">
        <v>2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0.13</v>
      </c>
      <c r="C143" s="9">
        <v>71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0.13</v>
      </c>
      <c r="C146" s="9">
        <v>77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8">
        <v>53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0.84</v>
      </c>
      <c r="C152" s="8">
        <v>50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0.78</v>
      </c>
      <c r="C155" s="8">
        <v>1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0.26</v>
      </c>
      <c r="C158" s="8">
        <v>8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0.16</v>
      </c>
      <c r="C161" s="8">
        <v>69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1.2</v>
      </c>
      <c r="C164" s="9">
        <v>1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18.87</v>
      </c>
      <c r="C169" s="9">
        <v>1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18.579999999999998</v>
      </c>
      <c r="C173" s="8">
        <v>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0.26</v>
      </c>
      <c r="C176" s="8">
        <v>1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</v>
      </c>
      <c r="C179" s="8">
        <v>1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</v>
      </c>
      <c r="C182" s="8">
        <v>28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</v>
      </c>
      <c r="C185" s="8">
        <v>2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1.01</v>
      </c>
      <c r="C188" s="8">
        <v>56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0.03</v>
      </c>
      <c r="C191" s="8">
        <v>9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22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27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30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46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12.31</v>
      </c>
      <c r="C208" s="9">
        <v>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0.03</v>
      </c>
      <c r="C211" s="8">
        <v>95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0.71</v>
      </c>
      <c r="C214" s="8">
        <v>57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1.79</v>
      </c>
      <c r="C219" s="8">
        <v>30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</v>
      </c>
      <c r="C223" s="8">
        <v>28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17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7.0000000000000007E-2</v>
      </c>
      <c r="C229" s="8">
        <v>59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0.13</v>
      </c>
      <c r="C232" s="8">
        <v>62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0.13</v>
      </c>
      <c r="C235" s="8">
        <v>78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7.0000000000000007E-2</v>
      </c>
      <c r="C238" s="8">
        <v>68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0.16</v>
      </c>
      <c r="C242" s="8">
        <v>34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0.16</v>
      </c>
      <c r="C246" s="8">
        <v>48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35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42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2.0499999999999998</v>
      </c>
      <c r="C266" s="8">
        <v>54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0.97</v>
      </c>
      <c r="C269" s="8">
        <v>31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0.94</v>
      </c>
      <c r="C272" s="8">
        <v>67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0.75</v>
      </c>
      <c r="C275" s="8">
        <v>29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0.36</v>
      </c>
      <c r="C278" s="8">
        <v>76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1.1399999999999999</v>
      </c>
      <c r="C282" s="8">
        <v>74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1.98</v>
      </c>
      <c r="C285" s="8">
        <v>61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0.57399999999999995</v>
      </c>
      <c r="C288" s="8">
        <v>77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0.84</v>
      </c>
      <c r="C291" s="8">
        <v>53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</v>
      </c>
      <c r="C295" s="8">
        <v>66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</v>
      </c>
      <c r="C298" s="8">
        <v>10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1.2</v>
      </c>
      <c r="C301" s="8">
        <v>87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0.71</v>
      </c>
      <c r="C305" s="8">
        <v>24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2.76</v>
      </c>
      <c r="C308" s="8">
        <v>35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2.2400000000000002</v>
      </c>
      <c r="C311" s="8">
        <v>82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88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31.47</v>
      </c>
      <c r="C319" s="8">
        <v>1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2.4700000000000002</v>
      </c>
      <c r="C322" s="8">
        <v>52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6.69</v>
      </c>
      <c r="C325" s="8">
        <v>3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14.06</v>
      </c>
      <c r="C328" s="8">
        <v>1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11.01</v>
      </c>
      <c r="C331" s="8">
        <v>36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3.05</v>
      </c>
      <c r="C334" s="8">
        <v>93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31.47</v>
      </c>
      <c r="C337" s="8">
        <v>1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0.88</v>
      </c>
      <c r="C341" s="8">
        <v>32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0.36</v>
      </c>
      <c r="C344" s="8">
        <v>24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0.40699999999999997</v>
      </c>
      <c r="C347" s="8">
        <v>30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0.45</v>
      </c>
      <c r="C350" s="8">
        <v>55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0.51900000000000002</v>
      </c>
      <c r="C353" s="8">
        <v>21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11.43</v>
      </c>
      <c r="C357" s="8">
        <v>1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44.33</v>
      </c>
      <c r="C360" s="8">
        <v>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19.16</v>
      </c>
      <c r="C363" s="8">
        <v>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0.68</v>
      </c>
      <c r="C367" s="9">
        <v>16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0.55000000000000004</v>
      </c>
      <c r="C370" s="8">
        <v>8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0.19</v>
      </c>
      <c r="C373" s="8">
        <v>61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2.21</v>
      </c>
      <c r="C376" s="8">
        <v>4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0.75</v>
      </c>
      <c r="C379" s="8">
        <v>55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15.4</v>
      </c>
      <c r="C383" s="8">
        <v>1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2.96</v>
      </c>
      <c r="C386" s="9">
        <v>79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0.13</v>
      </c>
      <c r="C391" s="9">
        <v>79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54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1.72</v>
      </c>
      <c r="C400" s="8">
        <v>20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1.01</v>
      </c>
      <c r="C403" s="8">
        <v>38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0.26</v>
      </c>
      <c r="C406" s="8">
        <v>5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1.01</v>
      </c>
      <c r="C409" s="9">
        <v>56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0.71</v>
      </c>
      <c r="C413" s="9">
        <v>24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0.97</v>
      </c>
      <c r="C416" s="9">
        <v>31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41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3.15</v>
      </c>
      <c r="C428" s="8">
        <v>1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2.5</v>
      </c>
      <c r="C432" s="8">
        <v>96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2.73</v>
      </c>
      <c r="C435" s="8">
        <v>1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0.47799999999999998</v>
      </c>
      <c r="C438" s="8">
        <v>45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F42" sqref="F4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0.06</v>
      </c>
      <c r="C2" s="8">
        <v>45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0.03</v>
      </c>
      <c r="C5" s="8">
        <v>21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0.09</v>
      </c>
      <c r="C8" s="8">
        <v>26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0.06</v>
      </c>
      <c r="C11" s="8">
        <v>47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</v>
      </c>
      <c r="C20" s="8">
        <v>24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0.03</v>
      </c>
      <c r="C23" s="8">
        <v>13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0.08</v>
      </c>
      <c r="C26" s="8">
        <v>57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0.08</v>
      </c>
      <c r="C29" s="8">
        <v>61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0.04</v>
      </c>
      <c r="C32" s="8">
        <v>16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0.12</v>
      </c>
      <c r="C35" s="8">
        <v>35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1.57</v>
      </c>
      <c r="C39" s="8">
        <v>70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5.63</v>
      </c>
      <c r="C42" s="8">
        <v>69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2.27</v>
      </c>
      <c r="C45" s="8">
        <v>64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0.06</v>
      </c>
      <c r="C50" s="9">
        <v>45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1.06</v>
      </c>
      <c r="C53" s="8">
        <v>54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0.18</v>
      </c>
      <c r="C56" s="8">
        <v>34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0.17100000000000001</v>
      </c>
      <c r="C59" s="8">
        <v>15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0.06</v>
      </c>
      <c r="C62" s="8">
        <v>43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0.33</v>
      </c>
      <c r="C65" s="8">
        <v>69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18.8</v>
      </c>
      <c r="C68" s="8">
        <v>64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34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0.08</v>
      </c>
      <c r="C81" s="9">
        <v>57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0.08</v>
      </c>
      <c r="C84" s="9">
        <v>61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0.08</v>
      </c>
      <c r="C87" s="8">
        <v>61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-0.02</v>
      </c>
      <c r="C90" s="8">
        <v>29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-0.02</v>
      </c>
      <c r="C93" s="8">
        <v>28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44.03</v>
      </c>
      <c r="C98" s="8">
        <v>60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51.6</v>
      </c>
      <c r="C101" s="8">
        <v>59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0.85299999999999998</v>
      </c>
      <c r="C104" s="8">
        <v>58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650.86</v>
      </c>
      <c r="C107" s="8">
        <v>43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159.71</v>
      </c>
      <c r="C110" s="8">
        <v>31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24.89</v>
      </c>
      <c r="C114" s="8">
        <v>77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27.25</v>
      </c>
      <c r="C117" s="8">
        <v>78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0.91300000000000003</v>
      </c>
      <c r="C120" s="8">
        <v>63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14.44</v>
      </c>
      <c r="C124" s="8">
        <v>33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16.66</v>
      </c>
      <c r="C127" s="8">
        <v>30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0.86699999999999999</v>
      </c>
      <c r="C130" s="8">
        <v>39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2.4500000000000002</v>
      </c>
      <c r="C134" s="8">
        <v>31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4.03</v>
      </c>
      <c r="C137" s="8">
        <v>34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0.60899999999999999</v>
      </c>
      <c r="C140" s="8">
        <v>41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0.03</v>
      </c>
      <c r="C143" s="9">
        <v>21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0.04</v>
      </c>
      <c r="C146" s="9">
        <v>16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7.0000000000000007E-2</v>
      </c>
      <c r="C149" s="8">
        <v>40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0.7</v>
      </c>
      <c r="C152" s="8">
        <v>36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3.91</v>
      </c>
      <c r="C155" s="8">
        <v>43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1.06</v>
      </c>
      <c r="C158" s="8">
        <v>79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0.18</v>
      </c>
      <c r="C161" s="8">
        <v>75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5.63</v>
      </c>
      <c r="C164" s="9">
        <v>69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51.6</v>
      </c>
      <c r="C169" s="9">
        <v>59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49.63</v>
      </c>
      <c r="C173" s="8">
        <v>61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1.88</v>
      </c>
      <c r="C176" s="8">
        <v>50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0.88</v>
      </c>
      <c r="C179" s="8">
        <v>38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0.15</v>
      </c>
      <c r="C182" s="8">
        <v>49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0.36</v>
      </c>
      <c r="C185" s="8">
        <v>56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0.94</v>
      </c>
      <c r="C188" s="8">
        <v>55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0.67</v>
      </c>
      <c r="C191" s="8">
        <v>86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0.03</v>
      </c>
      <c r="C194" s="8">
        <v>45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0.03</v>
      </c>
      <c r="C198" s="8">
        <v>55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30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46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44.03</v>
      </c>
      <c r="C208" s="9">
        <v>60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0.09</v>
      </c>
      <c r="C211" s="8">
        <v>78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0.85</v>
      </c>
      <c r="C214" s="8">
        <v>39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2.1800000000000002</v>
      </c>
      <c r="C219" s="8">
        <v>48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1.76</v>
      </c>
      <c r="C223" s="8">
        <v>54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0.03</v>
      </c>
      <c r="C226" s="8">
        <v>38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0.15</v>
      </c>
      <c r="C229" s="8">
        <v>85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0.06</v>
      </c>
      <c r="C232" s="8">
        <v>34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0.06</v>
      </c>
      <c r="C235" s="8">
        <v>47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0.12</v>
      </c>
      <c r="C238" s="8">
        <v>91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0.12</v>
      </c>
      <c r="C242" s="8">
        <v>24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8">
        <v>35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35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42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3.27</v>
      </c>
      <c r="C266" s="8">
        <v>95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2.06</v>
      </c>
      <c r="C269" s="8">
        <v>97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1.39</v>
      </c>
      <c r="C272" s="8">
        <v>94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1.67</v>
      </c>
      <c r="C275" s="8">
        <v>97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0.21</v>
      </c>
      <c r="C278" s="8">
        <v>33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1.79</v>
      </c>
      <c r="C282" s="8">
        <v>98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3.63</v>
      </c>
      <c r="C285" s="8">
        <v>99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0.49199999999999999</v>
      </c>
      <c r="C288" s="8">
        <v>45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1.85</v>
      </c>
      <c r="C291" s="8">
        <v>2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1.36</v>
      </c>
      <c r="C295" s="8">
        <v>71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0.18</v>
      </c>
      <c r="C298" s="8">
        <v>25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1.18</v>
      </c>
      <c r="C301" s="8">
        <v>86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0.85</v>
      </c>
      <c r="C305" s="8">
        <v>37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4.12</v>
      </c>
      <c r="C308" s="8">
        <v>88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1.39</v>
      </c>
      <c r="C311" s="8">
        <v>44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88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63.99</v>
      </c>
      <c r="C319" s="8">
        <v>64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2.21</v>
      </c>
      <c r="C322" s="8">
        <v>42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13.63</v>
      </c>
      <c r="C325" s="8">
        <v>55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35.64</v>
      </c>
      <c r="C328" s="8">
        <v>60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15.63</v>
      </c>
      <c r="C331" s="8">
        <v>67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1.51</v>
      </c>
      <c r="C334" s="8">
        <v>64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63.99</v>
      </c>
      <c r="C337" s="8">
        <v>64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2.12</v>
      </c>
      <c r="C341" s="8">
        <v>83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0.91</v>
      </c>
      <c r="C344" s="8">
        <v>78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0.42899999999999999</v>
      </c>
      <c r="C347" s="8">
        <v>37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</v>
      </c>
      <c r="C350" s="8">
        <v>16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0.47099999999999997</v>
      </c>
      <c r="C353" s="8">
        <v>34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33.520000000000003</v>
      </c>
      <c r="C357" s="8">
        <v>56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190.75</v>
      </c>
      <c r="C360" s="8">
        <v>71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80.31</v>
      </c>
      <c r="C363" s="8">
        <v>58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1.57</v>
      </c>
      <c r="C367" s="9">
        <v>70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1.45</v>
      </c>
      <c r="C370" s="8">
        <v>70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0.15</v>
      </c>
      <c r="C373" s="8">
        <v>49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1.67</v>
      </c>
      <c r="C376" s="8">
        <v>17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1.48</v>
      </c>
      <c r="C379" s="8">
        <v>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42.46</v>
      </c>
      <c r="C383" s="8">
        <v>60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2.27</v>
      </c>
      <c r="C386" s="9">
        <v>64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</v>
      </c>
      <c r="C391" s="9">
        <v>24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0.03</v>
      </c>
      <c r="C394" s="9">
        <v>13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0.03</v>
      </c>
      <c r="C397" s="8">
        <v>6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2.2400000000000002</v>
      </c>
      <c r="C400" s="8">
        <v>7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1.67</v>
      </c>
      <c r="C403" s="8">
        <v>80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</v>
      </c>
      <c r="C406" s="8">
        <v>77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0.94</v>
      </c>
      <c r="C409" s="9">
        <v>55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0.85</v>
      </c>
      <c r="C413" s="9">
        <v>37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2.06</v>
      </c>
      <c r="C416" s="9">
        <v>97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41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5.84</v>
      </c>
      <c r="C428" s="8">
        <v>87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0.51</v>
      </c>
      <c r="C432" s="8">
        <v>25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0.67</v>
      </c>
      <c r="C435" s="8">
        <v>69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0.436</v>
      </c>
      <c r="C438" s="8">
        <v>32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workbookViewId="0">
      <selection activeCell="F32" sqref="F32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0.05</v>
      </c>
      <c r="C2" s="8">
        <v>38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0.31</v>
      </c>
      <c r="C5" s="8">
        <v>98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0.37</v>
      </c>
      <c r="C8" s="8">
        <v>87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0.05</v>
      </c>
      <c r="C11" s="8">
        <v>39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0.16</v>
      </c>
      <c r="C20" s="8">
        <v>70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59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0.08</v>
      </c>
      <c r="C26" s="8">
        <v>57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0.08</v>
      </c>
      <c r="C29" s="8">
        <v>61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0.2</v>
      </c>
      <c r="C32" s="8">
        <v>91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0.28000000000000003</v>
      </c>
      <c r="C35" s="8">
        <v>85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3.03</v>
      </c>
      <c r="C39" s="8">
        <v>97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3.34</v>
      </c>
      <c r="C42" s="8">
        <v>17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4.2300000000000004</v>
      </c>
      <c r="C45" s="8">
        <v>89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0.05</v>
      </c>
      <c r="C50" s="9">
        <v>38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1.46</v>
      </c>
      <c r="C53" s="8">
        <v>77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0.31</v>
      </c>
      <c r="C56" s="8">
        <v>58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0.214</v>
      </c>
      <c r="C59" s="8">
        <v>27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0.04</v>
      </c>
      <c r="C62" s="8">
        <v>31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0.17</v>
      </c>
      <c r="C65" s="8">
        <v>30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22</v>
      </c>
      <c r="C68" s="8">
        <v>31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0.1</v>
      </c>
      <c r="C71" s="8">
        <v>87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0.08</v>
      </c>
      <c r="C81" s="9">
        <v>57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0.08</v>
      </c>
      <c r="C84" s="9">
        <v>61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0.06</v>
      </c>
      <c r="C87" s="8">
        <v>36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-0.03</v>
      </c>
      <c r="C90" s="8">
        <v>23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-0.03</v>
      </c>
      <c r="C93" s="8">
        <v>22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27.42</v>
      </c>
      <c r="C98" s="8">
        <v>11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35.21</v>
      </c>
      <c r="C101" s="8">
        <v>10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0.77900000000000003</v>
      </c>
      <c r="C104" s="8">
        <v>15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447.28</v>
      </c>
      <c r="C107" s="8">
        <v>10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99.72</v>
      </c>
      <c r="C110" s="8">
        <v>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14.47</v>
      </c>
      <c r="C114" s="8">
        <v>19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16.45</v>
      </c>
      <c r="C117" s="8">
        <v>17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0.879</v>
      </c>
      <c r="C120" s="8">
        <v>28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9.66</v>
      </c>
      <c r="C124" s="8">
        <v>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12.12</v>
      </c>
      <c r="C127" s="8">
        <v>8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0.79700000000000004</v>
      </c>
      <c r="C130" s="8">
        <v>7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2.4</v>
      </c>
      <c r="C134" s="8">
        <v>30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4.49</v>
      </c>
      <c r="C137" s="8">
        <v>41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0.53500000000000003</v>
      </c>
      <c r="C140" s="8">
        <v>18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0.31</v>
      </c>
      <c r="C143" s="9">
        <v>98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0.2</v>
      </c>
      <c r="C146" s="9">
        <v>91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0.14000000000000001</v>
      </c>
      <c r="C149" s="8">
        <v>80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1.25</v>
      </c>
      <c r="C152" s="8">
        <v>73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1.67</v>
      </c>
      <c r="C155" s="8">
        <v>2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1.36</v>
      </c>
      <c r="C158" s="8">
        <v>89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0.42</v>
      </c>
      <c r="C161" s="8">
        <v>96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3.34</v>
      </c>
      <c r="C164" s="9">
        <v>17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35.21</v>
      </c>
      <c r="C169" s="9">
        <v>10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32.909999999999997</v>
      </c>
      <c r="C173" s="8">
        <v>8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2.19</v>
      </c>
      <c r="C176" s="8">
        <v>57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0.84</v>
      </c>
      <c r="C179" s="8">
        <v>36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0.31</v>
      </c>
      <c r="C182" s="8">
        <v>81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0.26</v>
      </c>
      <c r="C185" s="8">
        <v>43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2.61</v>
      </c>
      <c r="C188" s="8">
        <v>80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0.16</v>
      </c>
      <c r="C191" s="8">
        <v>41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0.52</v>
      </c>
      <c r="C194" s="8">
        <v>69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0.47</v>
      </c>
      <c r="C198" s="8">
        <v>77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30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46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27.42</v>
      </c>
      <c r="C208" s="9">
        <v>11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</v>
      </c>
      <c r="C211" s="8">
        <v>75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0.94</v>
      </c>
      <c r="C214" s="8">
        <v>30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2.77</v>
      </c>
      <c r="C219" s="8">
        <v>72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1.67</v>
      </c>
      <c r="C223" s="8">
        <v>49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0.37</v>
      </c>
      <c r="C226" s="8">
        <v>77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0.16</v>
      </c>
      <c r="C229" s="8">
        <v>86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0.21</v>
      </c>
      <c r="C232" s="8">
        <v>84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0.37</v>
      </c>
      <c r="C235" s="8">
        <v>99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14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0.52</v>
      </c>
      <c r="C242" s="8">
        <v>91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0.42</v>
      </c>
      <c r="C246" s="8">
        <v>93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0.05</v>
      </c>
      <c r="C249" s="8">
        <v>85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42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0.05</v>
      </c>
      <c r="C258" s="8">
        <v>95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2.25</v>
      </c>
      <c r="C266" s="8">
        <v>62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1.36</v>
      </c>
      <c r="C269" s="8">
        <v>66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1.04</v>
      </c>
      <c r="C272" s="8">
        <v>76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1.1000000000000001</v>
      </c>
      <c r="C275" s="8">
        <v>70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</v>
      </c>
      <c r="C278" s="8">
        <v>9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0.68</v>
      </c>
      <c r="C282" s="8">
        <v>20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0.94</v>
      </c>
      <c r="C285" s="8">
        <v>5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0.72199999999999998</v>
      </c>
      <c r="C288" s="8">
        <v>97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0.26</v>
      </c>
      <c r="C291" s="8">
        <v>99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0.99</v>
      </c>
      <c r="C295" s="8">
        <v>34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0.16</v>
      </c>
      <c r="C298" s="8">
        <v>21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0.84</v>
      </c>
      <c r="C301" s="8">
        <v>51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0.56999999999999995</v>
      </c>
      <c r="C305" s="8">
        <v>12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2.82</v>
      </c>
      <c r="C308" s="8">
        <v>38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1.1499999999999999</v>
      </c>
      <c r="C311" s="8">
        <v>26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0.16</v>
      </c>
      <c r="C314" s="8">
        <v>8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48.68</v>
      </c>
      <c r="C319" s="8">
        <v>16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1.36</v>
      </c>
      <c r="C322" s="8">
        <v>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8.1999999999999993</v>
      </c>
      <c r="C325" s="8">
        <v>8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23.56</v>
      </c>
      <c r="C328" s="8">
        <v>11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17.86</v>
      </c>
      <c r="C331" s="8">
        <v>78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2.46</v>
      </c>
      <c r="C334" s="8">
        <v>88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48.68</v>
      </c>
      <c r="C337" s="8">
        <v>16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2.93</v>
      </c>
      <c r="C341" s="8">
        <v>96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1.1000000000000001</v>
      </c>
      <c r="C344" s="8">
        <v>86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0.375</v>
      </c>
      <c r="C347" s="8">
        <v>20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1.1000000000000001</v>
      </c>
      <c r="C350" s="8">
        <v>11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0.375</v>
      </c>
      <c r="C353" s="8">
        <v>71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29.51</v>
      </c>
      <c r="C357" s="8">
        <v>37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183.6</v>
      </c>
      <c r="C360" s="8">
        <v>66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93.66</v>
      </c>
      <c r="C363" s="8">
        <v>75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3.03</v>
      </c>
      <c r="C367" s="9">
        <v>97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2.25</v>
      </c>
      <c r="C370" s="8">
        <v>92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0.52</v>
      </c>
      <c r="C373" s="8">
        <v>92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2.46</v>
      </c>
      <c r="C376" s="8">
        <v>1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1.72</v>
      </c>
      <c r="C379" s="8">
        <v>1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33.270000000000003</v>
      </c>
      <c r="C383" s="8">
        <v>28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4.2300000000000004</v>
      </c>
      <c r="C386" s="9">
        <v>89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0.16</v>
      </c>
      <c r="C391" s="9">
        <v>70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54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1.51</v>
      </c>
      <c r="C400" s="8">
        <v>35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2.61</v>
      </c>
      <c r="C403" s="8">
        <v>97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0.05</v>
      </c>
      <c r="C406" s="8">
        <v>39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2.61</v>
      </c>
      <c r="C409" s="9">
        <v>80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0.56999999999999995</v>
      </c>
      <c r="C413" s="9">
        <v>12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1.36</v>
      </c>
      <c r="C416" s="9">
        <v>66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41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3.29</v>
      </c>
      <c r="C428" s="8">
        <v>2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0.56999999999999995</v>
      </c>
      <c r="C432" s="8">
        <v>29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0.94</v>
      </c>
      <c r="C435" s="8">
        <v>43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0.379</v>
      </c>
      <c r="C438" s="8">
        <v>18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topLeftCell="A124" workbookViewId="0">
      <selection activeCell="D66" sqref="D66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8">
        <v>11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9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</v>
      </c>
      <c r="C8" s="8">
        <v>3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</v>
      </c>
      <c r="C11" s="8">
        <v>11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44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0.26</v>
      </c>
      <c r="C20" s="8">
        <v>35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59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0.01</v>
      </c>
      <c r="C26" s="8">
        <v>5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0.01</v>
      </c>
      <c r="C29" s="8">
        <v>5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0.03</v>
      </c>
      <c r="C32" s="8">
        <v>7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0.04</v>
      </c>
      <c r="C35" s="8">
        <v>2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0.54</v>
      </c>
      <c r="C39" s="8">
        <v>8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4.03</v>
      </c>
      <c r="C42" s="8">
        <v>34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0.45</v>
      </c>
      <c r="C45" s="8">
        <v>3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</v>
      </c>
      <c r="C50" s="9">
        <v>11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0.32</v>
      </c>
      <c r="C53" s="8">
        <v>5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</v>
      </c>
      <c r="C56" s="8">
        <v>2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</v>
      </c>
      <c r="C59" s="8">
        <v>2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</v>
      </c>
      <c r="C62" s="8">
        <v>11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/>
      <c r="B65" s="6"/>
      <c r="C65" s="8"/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27.1</v>
      </c>
      <c r="C68" s="8">
        <v>5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34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0.01</v>
      </c>
      <c r="C81" s="9">
        <v>5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0.01</v>
      </c>
      <c r="C84" s="9">
        <v>5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0.04</v>
      </c>
      <c r="C87" s="8">
        <v>10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-0.01</v>
      </c>
      <c r="C90" s="8">
        <v>41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-0.01</v>
      </c>
      <c r="C93" s="8">
        <v>40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45</v>
      </c>
      <c r="C98" s="8">
        <v>63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48.81</v>
      </c>
      <c r="C101" s="8">
        <v>49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0.92200000000000004</v>
      </c>
      <c r="C104" s="8">
        <v>96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716.32</v>
      </c>
      <c r="C107" s="8">
        <v>57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201.75</v>
      </c>
      <c r="C110" s="8">
        <v>54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23.12</v>
      </c>
      <c r="C114" s="8">
        <v>70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24.34</v>
      </c>
      <c r="C117" s="8">
        <v>65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0.95</v>
      </c>
      <c r="C120" s="8">
        <v>95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17.53</v>
      </c>
      <c r="C124" s="8">
        <v>55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18.55</v>
      </c>
      <c r="C127" s="8">
        <v>46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0.94499999999999995</v>
      </c>
      <c r="C130" s="8">
        <v>96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2.88</v>
      </c>
      <c r="C134" s="8">
        <v>42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3.65</v>
      </c>
      <c r="C137" s="8">
        <v>28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0.78900000000000003</v>
      </c>
      <c r="C140" s="8">
        <v>93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9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0.03</v>
      </c>
      <c r="C146" s="9">
        <v>7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0.02</v>
      </c>
      <c r="C149" s="8">
        <v>1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0.51</v>
      </c>
      <c r="C152" s="8">
        <v>12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4.09</v>
      </c>
      <c r="C155" s="8">
        <v>49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0.22</v>
      </c>
      <c r="C158" s="8">
        <v>6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0.03</v>
      </c>
      <c r="C161" s="8">
        <v>18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4.03</v>
      </c>
      <c r="C164" s="9">
        <v>34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48.81</v>
      </c>
      <c r="C169" s="9">
        <v>49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47.69</v>
      </c>
      <c r="C173" s="8">
        <v>55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1.02</v>
      </c>
      <c r="C176" s="8">
        <v>22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0.86</v>
      </c>
      <c r="C179" s="8">
        <v>37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0.13</v>
      </c>
      <c r="C182" s="8">
        <v>41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0.45</v>
      </c>
      <c r="C185" s="8">
        <v>69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0.03</v>
      </c>
      <c r="C188" s="8">
        <v>2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</v>
      </c>
      <c r="C191" s="8">
        <v>28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22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27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30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46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45</v>
      </c>
      <c r="C208" s="9">
        <v>63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</v>
      </c>
      <c r="C211" s="8">
        <v>76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0.51</v>
      </c>
      <c r="C214" s="8">
        <v>83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1.6</v>
      </c>
      <c r="C219" s="8">
        <v>21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1.22</v>
      </c>
      <c r="C223" s="8">
        <v>17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0.13</v>
      </c>
      <c r="C226" s="8">
        <v>61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0.06</v>
      </c>
      <c r="C229" s="8">
        <v>57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7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0.06</v>
      </c>
      <c r="C235" s="8">
        <v>49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0.13</v>
      </c>
      <c r="C238" s="8">
        <v>93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</v>
      </c>
      <c r="C242" s="8">
        <v>15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8">
        <v>18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0.03</v>
      </c>
      <c r="C249" s="8">
        <v>75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42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3.17</v>
      </c>
      <c r="C266" s="8">
        <v>94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1.86</v>
      </c>
      <c r="C269" s="8">
        <v>93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1.44</v>
      </c>
      <c r="C272" s="8">
        <v>95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1.38</v>
      </c>
      <c r="C275" s="8">
        <v>87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0.35</v>
      </c>
      <c r="C278" s="8">
        <v>75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1.28</v>
      </c>
      <c r="C282" s="8">
        <v>83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2.56</v>
      </c>
      <c r="C285" s="8">
        <v>86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0.5</v>
      </c>
      <c r="C288" s="8">
        <v>49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1.28</v>
      </c>
      <c r="C291" s="8">
        <v>18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1.31</v>
      </c>
      <c r="C295" s="8">
        <v>67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0.32</v>
      </c>
      <c r="C298" s="8">
        <v>59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0.99</v>
      </c>
      <c r="C301" s="8">
        <v>69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1.38</v>
      </c>
      <c r="C305" s="8">
        <v>83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4.54</v>
      </c>
      <c r="C308" s="8">
        <v>96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1.31</v>
      </c>
      <c r="C311" s="8">
        <v>36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0.13</v>
      </c>
      <c r="C314" s="8">
        <v>13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58.82</v>
      </c>
      <c r="C319" s="8">
        <v>47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2.91</v>
      </c>
      <c r="C322" s="8">
        <v>69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15.83</v>
      </c>
      <c r="C325" s="8">
        <v>76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38.19</v>
      </c>
      <c r="C328" s="8">
        <v>73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5.57</v>
      </c>
      <c r="C331" s="8">
        <v>2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0.13</v>
      </c>
      <c r="C334" s="8">
        <v>2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58.82</v>
      </c>
      <c r="C337" s="8">
        <v>47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1.25</v>
      </c>
      <c r="C341" s="8">
        <v>49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0.54</v>
      </c>
      <c r="C344" s="8">
        <v>47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0.436</v>
      </c>
      <c r="C347" s="8">
        <v>39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0.48</v>
      </c>
      <c r="C350" s="8">
        <v>52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0.38500000000000001</v>
      </c>
      <c r="C353" s="8">
        <v>67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32.97</v>
      </c>
      <c r="C357" s="8">
        <v>53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141.97</v>
      </c>
      <c r="C360" s="8">
        <v>39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63.87</v>
      </c>
      <c r="C363" s="8">
        <v>36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0.54</v>
      </c>
      <c r="C367" s="9">
        <v>8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0.64</v>
      </c>
      <c r="C370" s="8">
        <v>13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5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1.06</v>
      </c>
      <c r="C376" s="8">
        <v>61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0.77</v>
      </c>
      <c r="C379" s="8">
        <v>52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39.21</v>
      </c>
      <c r="C383" s="8">
        <v>50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0.45</v>
      </c>
      <c r="C386" s="9">
        <v>3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0.26</v>
      </c>
      <c r="C391" s="9">
        <v>35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54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1.28</v>
      </c>
      <c r="C400" s="8">
        <v>51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1.22</v>
      </c>
      <c r="C403" s="8">
        <v>56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</v>
      </c>
      <c r="C406" s="8">
        <v>77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0.03</v>
      </c>
      <c r="C409" s="9">
        <v>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1.38</v>
      </c>
      <c r="C413" s="9">
        <v>83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1.86</v>
      </c>
      <c r="C416" s="9">
        <v>93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41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0.03</v>
      </c>
      <c r="C422" s="8">
        <v>21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7.16</v>
      </c>
      <c r="C428" s="8">
        <v>98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0.1</v>
      </c>
      <c r="C432" s="8">
        <v>2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0.35</v>
      </c>
      <c r="C435" s="8">
        <v>94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0.214</v>
      </c>
      <c r="C438" s="8">
        <v>4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ECC-17B7-1A40-BEA5-B8B74C1FED02}">
  <dimension ref="A1:C440"/>
  <sheetViews>
    <sheetView topLeftCell="A406" workbookViewId="0">
      <selection activeCell="L454" sqref="L454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0.09</v>
      </c>
      <c r="C2" s="8">
        <v>80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0.03</v>
      </c>
      <c r="C5" s="8">
        <v>58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0.11</v>
      </c>
      <c r="C8" s="8">
        <v>78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0.09</v>
      </c>
      <c r="C11" s="8">
        <v>81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49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49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0.26</v>
      </c>
      <c r="C20" s="8">
        <v>25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62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7.0000000000000007E-2</v>
      </c>
      <c r="C26" s="8">
        <v>76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7.0000000000000007E-2</v>
      </c>
      <c r="C29" s="8">
        <v>77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0.03</v>
      </c>
      <c r="C32" s="8">
        <v>63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</v>
      </c>
      <c r="C35" s="8">
        <v>73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0.69</v>
      </c>
      <c r="C39" s="8">
        <v>59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4.97</v>
      </c>
      <c r="C42" s="8">
        <v>86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0.37</v>
      </c>
      <c r="C45" s="8">
        <v>63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0.09</v>
      </c>
      <c r="C50" s="9">
        <v>80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0.69</v>
      </c>
      <c r="C53" s="8">
        <v>76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0.26</v>
      </c>
      <c r="C56" s="8">
        <v>89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0.375</v>
      </c>
      <c r="C59" s="8">
        <v>76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0.13</v>
      </c>
      <c r="C62" s="8">
        <v>74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0.33</v>
      </c>
      <c r="C65" s="8">
        <v>57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15</v>
      </c>
      <c r="C68" s="8">
        <v>30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44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49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49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7.0000000000000007E-2</v>
      </c>
      <c r="C81" s="9">
        <v>76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7.0000000000000007E-2</v>
      </c>
      <c r="C84" s="9">
        <v>77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</v>
      </c>
      <c r="C87" s="8">
        <v>59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0.02</v>
      </c>
      <c r="C90" s="8">
        <v>77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0.02</v>
      </c>
      <c r="C93" s="8">
        <v>77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63.31</v>
      </c>
      <c r="C98" s="8">
        <v>86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70.739999999999995</v>
      </c>
      <c r="C101" s="8">
        <v>87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0.89500000000000002</v>
      </c>
      <c r="C104" s="8">
        <v>71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1188.6600000000001</v>
      </c>
      <c r="C107" s="8">
        <v>86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429.69</v>
      </c>
      <c r="C110" s="8">
        <v>89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22.66</v>
      </c>
      <c r="C114" s="8">
        <v>77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24.14</v>
      </c>
      <c r="C117" s="8">
        <v>77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0.93799999999999994</v>
      </c>
      <c r="C120" s="8">
        <v>62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35</v>
      </c>
      <c r="C124" s="8">
        <v>87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37.03</v>
      </c>
      <c r="C127" s="8">
        <v>88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0.94499999999999995</v>
      </c>
      <c r="C130" s="8">
        <v>72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5.2</v>
      </c>
      <c r="C134" s="8">
        <v>75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8.3699999999999992</v>
      </c>
      <c r="C137" s="8">
        <v>73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0.621</v>
      </c>
      <c r="C140" s="8">
        <v>61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0.03</v>
      </c>
      <c r="C143" s="9">
        <v>58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0.03</v>
      </c>
      <c r="C146" s="9">
        <v>63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0.05</v>
      </c>
      <c r="C149" s="8">
        <v>79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0.37</v>
      </c>
      <c r="C152" s="8">
        <v>77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5.23</v>
      </c>
      <c r="C155" s="8">
        <v>86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0.43</v>
      </c>
      <c r="C158" s="8">
        <v>87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0.09</v>
      </c>
      <c r="C161" s="8">
        <v>80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4.97</v>
      </c>
      <c r="C164" s="9">
        <v>86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70.739999999999995</v>
      </c>
      <c r="C169" s="9">
        <v>87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67.77</v>
      </c>
      <c r="C173" s="8">
        <v>88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2.86</v>
      </c>
      <c r="C176" s="8">
        <v>49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1.8</v>
      </c>
      <c r="C179" s="8">
        <v>62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0.11</v>
      </c>
      <c r="C182" s="8">
        <v>84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0.51</v>
      </c>
      <c r="C185" s="8">
        <v>82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0.4</v>
      </c>
      <c r="C188" s="8">
        <v>73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0.28999999999999998</v>
      </c>
      <c r="C191" s="8">
        <v>52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48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49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49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50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63.31</v>
      </c>
      <c r="C208" s="9">
        <v>86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0.11</v>
      </c>
      <c r="C211" s="8">
        <v>52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0.23</v>
      </c>
      <c r="C214" s="8">
        <v>79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</v>
      </c>
      <c r="C219" s="8">
        <v>81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1.0900000000000001</v>
      </c>
      <c r="C223" s="8">
        <v>86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0.03</v>
      </c>
      <c r="C226" s="8">
        <v>63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38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0.09</v>
      </c>
      <c r="C232" s="8">
        <v>67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31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27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0.17</v>
      </c>
      <c r="C242" s="8">
        <v>86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8">
        <v>78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48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0.06</v>
      </c>
      <c r="C255" s="8">
        <v>94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43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47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0.94</v>
      </c>
      <c r="C266" s="8">
        <v>9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0.56999999999999995</v>
      </c>
      <c r="C269" s="8">
        <v>11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0.6</v>
      </c>
      <c r="C272" s="8">
        <v>15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0.17</v>
      </c>
      <c r="C275" s="8">
        <v>2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0.17</v>
      </c>
      <c r="C278" s="8">
        <v>84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0.51</v>
      </c>
      <c r="C282" s="8">
        <v>17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0.94</v>
      </c>
      <c r="C285" s="8">
        <v>29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0.54500000000000004</v>
      </c>
      <c r="C288" s="8">
        <v>13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0.43</v>
      </c>
      <c r="C291" s="8">
        <v>45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1.1399999999999999</v>
      </c>
      <c r="C295" s="8">
        <v>44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0.8</v>
      </c>
      <c r="C298" s="8">
        <v>63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0.34</v>
      </c>
      <c r="C301" s="8">
        <v>22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</v>
      </c>
      <c r="C305" s="8">
        <v>47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1.94</v>
      </c>
      <c r="C308" s="8">
        <v>16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3.34</v>
      </c>
      <c r="C311" s="8">
        <v>7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0.14000000000000001</v>
      </c>
      <c r="C314" s="8">
        <v>19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79</v>
      </c>
      <c r="C319" s="8">
        <v>83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8.94</v>
      </c>
      <c r="C322" s="8">
        <v>65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36.54</v>
      </c>
      <c r="C325" s="8">
        <v>86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39.03</v>
      </c>
      <c r="C328" s="8">
        <v>76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4.09</v>
      </c>
      <c r="C331" s="8">
        <v>63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1.23</v>
      </c>
      <c r="C334" s="8">
        <v>80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79</v>
      </c>
      <c r="C337" s="8">
        <v>83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</v>
      </c>
      <c r="C341" s="8">
        <v>62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0.26</v>
      </c>
      <c r="C344" s="8">
        <v>71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0.64300000000000002</v>
      </c>
      <c r="C347" s="8">
        <v>66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0.11</v>
      </c>
      <c r="C350" s="8">
        <v>44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0.28599999999999998</v>
      </c>
      <c r="C353" s="8">
        <v>65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50.6</v>
      </c>
      <c r="C357" s="8">
        <v>86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273.43</v>
      </c>
      <c r="C360" s="8">
        <v>93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162.03</v>
      </c>
      <c r="C363" s="8">
        <v>94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0.69</v>
      </c>
      <c r="C367" s="9">
        <v>59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0.71</v>
      </c>
      <c r="C370" s="8">
        <v>72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25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0.51</v>
      </c>
      <c r="C376" s="8">
        <v>43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0.37</v>
      </c>
      <c r="C379" s="8">
        <v>12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59.34</v>
      </c>
      <c r="C383" s="8">
        <v>87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0.37</v>
      </c>
      <c r="C386" s="9">
        <v>63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0.26</v>
      </c>
      <c r="C391" s="9">
        <v>25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62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56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1.1100000000000001</v>
      </c>
      <c r="C400" s="8">
        <v>34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0.51</v>
      </c>
      <c r="C403" s="8">
        <v>45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0.03</v>
      </c>
      <c r="C406" s="8">
        <v>53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0.4</v>
      </c>
      <c r="C409" s="9">
        <v>73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1</v>
      </c>
      <c r="C413" s="9">
        <v>47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0.56999999999999995</v>
      </c>
      <c r="C416" s="9">
        <v>11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44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73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0.06</v>
      </c>
      <c r="C425" s="8">
        <v>3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3.57</v>
      </c>
      <c r="C428" s="8">
        <v>45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1.91</v>
      </c>
      <c r="C432" s="8">
        <v>41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0.97</v>
      </c>
      <c r="C435" s="8">
        <v>85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0.66300000000000003</v>
      </c>
      <c r="C438" s="8">
        <v>78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topLeftCell="A405" workbookViewId="0">
      <selection activeCell="E419" sqref="E419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8">
        <v>14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13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</v>
      </c>
      <c r="C8" s="8">
        <v>7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</v>
      </c>
      <c r="C11" s="8">
        <v>14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0.15</v>
      </c>
      <c r="C20" s="8">
        <v>77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58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0.03</v>
      </c>
      <c r="C26" s="8">
        <v>17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0.03</v>
      </c>
      <c r="C29" s="8">
        <v>18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0.03</v>
      </c>
      <c r="C32" s="8">
        <v>11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7.0000000000000007E-2</v>
      </c>
      <c r="C35" s="8">
        <v>7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1.55</v>
      </c>
      <c r="C39" s="8">
        <v>54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5.97</v>
      </c>
      <c r="C42" s="8">
        <v>79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1.25</v>
      </c>
      <c r="C45" s="8">
        <v>25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</v>
      </c>
      <c r="C50" s="9">
        <v>14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1.03</v>
      </c>
      <c r="C53" s="8">
        <v>36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0.22</v>
      </c>
      <c r="C56" s="8">
        <v>30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0.214</v>
      </c>
      <c r="C59" s="8">
        <v>20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</v>
      </c>
      <c r="C62" s="8">
        <v>14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</v>
      </c>
      <c r="C65" s="8">
        <v>14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26.2</v>
      </c>
      <c r="C68" s="8">
        <v>6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0.15</v>
      </c>
      <c r="C71" s="8">
        <v>86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0.03</v>
      </c>
      <c r="C81" s="9">
        <v>17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0.03</v>
      </c>
      <c r="C84" s="9">
        <v>18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0.03</v>
      </c>
      <c r="C87" s="8">
        <v>6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-0.03</v>
      </c>
      <c r="C90" s="8">
        <v>36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-0.03</v>
      </c>
      <c r="C93" s="8">
        <v>36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58.99</v>
      </c>
      <c r="C98" s="8">
        <v>86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70.34</v>
      </c>
      <c r="C101" s="8">
        <v>88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0.83899999999999997</v>
      </c>
      <c r="C104" s="8">
        <v>60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1116.82</v>
      </c>
      <c r="C107" s="8">
        <v>94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309.92</v>
      </c>
      <c r="C110" s="8">
        <v>92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22.76</v>
      </c>
      <c r="C114" s="8">
        <v>64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24.38</v>
      </c>
      <c r="C117" s="8">
        <v>62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0.93400000000000005</v>
      </c>
      <c r="C120" s="8">
        <v>86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26.59</v>
      </c>
      <c r="C124" s="8">
        <v>93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29.39</v>
      </c>
      <c r="C127" s="8">
        <v>93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0.90500000000000003</v>
      </c>
      <c r="C130" s="8">
        <v>82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7.81</v>
      </c>
      <c r="C134" s="8">
        <v>98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13.11</v>
      </c>
      <c r="C137" s="8">
        <v>99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0.59599999999999997</v>
      </c>
      <c r="C140" s="8">
        <v>52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13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0.03</v>
      </c>
      <c r="C146" s="9">
        <v>11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7.0000000000000007E-2</v>
      </c>
      <c r="C149" s="8">
        <v>29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0.59</v>
      </c>
      <c r="C152" s="8">
        <v>15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6.33</v>
      </c>
      <c r="C155" s="8">
        <v>91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0.52</v>
      </c>
      <c r="C158" s="8">
        <v>21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0.15</v>
      </c>
      <c r="C161" s="8">
        <v>56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5.97</v>
      </c>
      <c r="C164" s="9">
        <v>79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70.34</v>
      </c>
      <c r="C169" s="9">
        <v>88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64.66</v>
      </c>
      <c r="C173" s="8">
        <v>85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5.08</v>
      </c>
      <c r="C176" s="8">
        <v>85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3.24</v>
      </c>
      <c r="C179" s="8">
        <v>97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0.15</v>
      </c>
      <c r="C182" s="8">
        <v>45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1.1000000000000001</v>
      </c>
      <c r="C185" s="8">
        <v>98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2.06</v>
      </c>
      <c r="C188" s="8">
        <v>68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0.59</v>
      </c>
      <c r="C191" s="8">
        <v>78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1.1000000000000001</v>
      </c>
      <c r="C194" s="8">
        <v>76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0.59</v>
      </c>
      <c r="C198" s="8">
        <v>73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0.22</v>
      </c>
      <c r="C201" s="8">
        <v>74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41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58.99</v>
      </c>
      <c r="C208" s="9">
        <v>86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0.59</v>
      </c>
      <c r="C211" s="8">
        <v>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0.81</v>
      </c>
      <c r="C214" s="8">
        <v>63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1.91</v>
      </c>
      <c r="C219" s="8">
        <v>23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1.47</v>
      </c>
      <c r="C223" s="8">
        <v>21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0.44</v>
      </c>
      <c r="C226" s="8">
        <v>78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17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7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14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0.37</v>
      </c>
      <c r="C242" s="8">
        <v>71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0.28999999999999998</v>
      </c>
      <c r="C246" s="8">
        <v>75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7.0000000000000007E-2</v>
      </c>
      <c r="C249" s="8">
        <v>88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41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35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1.91</v>
      </c>
      <c r="C266" s="8">
        <v>40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0.96</v>
      </c>
      <c r="C269" s="8">
        <v>29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0.81</v>
      </c>
      <c r="C272" s="8">
        <v>47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0.74</v>
      </c>
      <c r="C275" s="8">
        <v>32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0.37</v>
      </c>
      <c r="C278" s="8">
        <v>68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1.03</v>
      </c>
      <c r="C282" s="8">
        <v>59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1.69</v>
      </c>
      <c r="C285" s="8">
        <v>36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0.60899999999999999</v>
      </c>
      <c r="C288" s="8">
        <v>91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0.66</v>
      </c>
      <c r="C291" s="8">
        <v>86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1.62</v>
      </c>
      <c r="C295" s="8">
        <v>74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0.66</v>
      </c>
      <c r="C298" s="8">
        <v>91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0.96</v>
      </c>
      <c r="C301" s="8">
        <v>45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0.88</v>
      </c>
      <c r="C305" s="8">
        <v>52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2.8</v>
      </c>
      <c r="C308" s="8">
        <v>40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1.33</v>
      </c>
      <c r="C311" s="8">
        <v>55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71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78.14</v>
      </c>
      <c r="C319" s="8">
        <v>86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2.95</v>
      </c>
      <c r="C322" s="8">
        <v>73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19.52</v>
      </c>
      <c r="C325" s="8">
        <v>88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45.66</v>
      </c>
      <c r="C328" s="8">
        <v>88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13.4</v>
      </c>
      <c r="C331" s="8">
        <v>36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0.44</v>
      </c>
      <c r="C334" s="8">
        <v>9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78.14</v>
      </c>
      <c r="C337" s="8">
        <v>86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0.22</v>
      </c>
      <c r="C341" s="8">
        <v>2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7.0000000000000007E-2</v>
      </c>
      <c r="C344" s="8">
        <v>2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0.33300000000000002</v>
      </c>
      <c r="C347" s="8">
        <v>6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7.0000000000000007E-2</v>
      </c>
      <c r="C350" s="8">
        <v>98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0.33300000000000002</v>
      </c>
      <c r="C353" s="8">
        <v>76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46.91</v>
      </c>
      <c r="C357" s="8">
        <v>82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227.65</v>
      </c>
      <c r="C360" s="8">
        <v>79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103.7</v>
      </c>
      <c r="C363" s="8">
        <v>73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1.55</v>
      </c>
      <c r="C367" s="9">
        <v>54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1.25</v>
      </c>
      <c r="C370" s="8">
        <v>46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0.15</v>
      </c>
      <c r="C373" s="8">
        <v>41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0.52</v>
      </c>
      <c r="C376" s="8">
        <v>96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0.52</v>
      </c>
      <c r="C379" s="8">
        <v>86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56.42</v>
      </c>
      <c r="C383" s="8">
        <v>82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1.25</v>
      </c>
      <c r="C386" s="9">
        <v>25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0.15</v>
      </c>
      <c r="C391" s="9">
        <v>77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58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0.81</v>
      </c>
      <c r="C400" s="8">
        <v>79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0.28999999999999998</v>
      </c>
      <c r="C403" s="8">
        <v>4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</v>
      </c>
      <c r="C406" s="8">
        <v>82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2.06</v>
      </c>
      <c r="C409" s="9">
        <v>68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0.88</v>
      </c>
      <c r="C413" s="9">
        <v>52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0.96</v>
      </c>
      <c r="C416" s="9">
        <v>29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44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60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6.85</v>
      </c>
      <c r="C428" s="8">
        <v>90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</v>
      </c>
      <c r="C432" s="8">
        <v>1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0.28999999999999998</v>
      </c>
      <c r="C435" s="8">
        <v>97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</v>
      </c>
      <c r="C438" s="8">
        <v>1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I38" sqref="I38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0.12</v>
      </c>
      <c r="C2" s="8">
        <v>64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0.03</v>
      </c>
      <c r="C5" s="8">
        <v>27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0.15</v>
      </c>
      <c r="C8" s="8">
        <v>42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0.12</v>
      </c>
      <c r="C11" s="8">
        <v>67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0.36</v>
      </c>
      <c r="C20" s="8">
        <v>19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0.03</v>
      </c>
      <c r="C23" s="8">
        <v>11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0.14000000000000001</v>
      </c>
      <c r="C26" s="8">
        <v>68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0.14000000000000001</v>
      </c>
      <c r="C29" s="8">
        <v>71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0.05</v>
      </c>
      <c r="C32" s="8">
        <v>23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0.19</v>
      </c>
      <c r="C35" s="8">
        <v>44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0.97</v>
      </c>
      <c r="C39" s="8">
        <v>31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2.2999999999999998</v>
      </c>
      <c r="C42" s="8">
        <v>5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1.49</v>
      </c>
      <c r="C45" s="8">
        <v>29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0.12</v>
      </c>
      <c r="C50" s="9">
        <v>64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1.46</v>
      </c>
      <c r="C53" s="8">
        <v>69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0.55000000000000004</v>
      </c>
      <c r="C56" s="8">
        <v>80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0.375</v>
      </c>
      <c r="C59" s="8">
        <v>81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0.08</v>
      </c>
      <c r="C62" s="8">
        <v>60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0.22</v>
      </c>
      <c r="C65" s="8">
        <v>45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16.600000000000001</v>
      </c>
      <c r="C68" s="8">
        <v>82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33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0.14000000000000001</v>
      </c>
      <c r="C81" s="9">
        <v>68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0.14000000000000001</v>
      </c>
      <c r="C84" s="9">
        <v>71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</v>
      </c>
      <c r="C87" s="8">
        <v>76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-0.02</v>
      </c>
      <c r="C90" s="8">
        <v>45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-0.02</v>
      </c>
      <c r="C93" s="8">
        <v>46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38.24</v>
      </c>
      <c r="C98" s="8">
        <v>55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44.58</v>
      </c>
      <c r="C101" s="8">
        <v>48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0.85799999999999998</v>
      </c>
      <c r="C104" s="8">
        <v>73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617.51</v>
      </c>
      <c r="C107" s="8">
        <v>52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161.96</v>
      </c>
      <c r="C110" s="8">
        <v>44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19.829999999999998</v>
      </c>
      <c r="C114" s="8">
        <v>52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21.77</v>
      </c>
      <c r="C117" s="8">
        <v>51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0.91100000000000003</v>
      </c>
      <c r="C120" s="8">
        <v>73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14.71</v>
      </c>
      <c r="C124" s="8">
        <v>54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16.68</v>
      </c>
      <c r="C127" s="8">
        <v>50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0.88200000000000001</v>
      </c>
      <c r="C130" s="8">
        <v>66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2.79</v>
      </c>
      <c r="C134" s="8">
        <v>55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4.43</v>
      </c>
      <c r="C137" s="8">
        <v>46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0.63</v>
      </c>
      <c r="C140" s="8">
        <v>64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0.03</v>
      </c>
      <c r="C143" s="9">
        <v>27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0.05</v>
      </c>
      <c r="C146" s="9">
        <v>23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0.04</v>
      </c>
      <c r="C149" s="8">
        <v>15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0.61</v>
      </c>
      <c r="C152" s="8">
        <v>17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1.97</v>
      </c>
      <c r="C155" s="8">
        <v>16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0.24</v>
      </c>
      <c r="C158" s="8">
        <v>9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0.09</v>
      </c>
      <c r="C161" s="8">
        <v>38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2.2999999999999998</v>
      </c>
      <c r="C164" s="9">
        <v>5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44.58</v>
      </c>
      <c r="C169" s="9">
        <v>48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43.42</v>
      </c>
      <c r="C173" s="8">
        <v>54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0.94</v>
      </c>
      <c r="C176" s="8">
        <v>24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0.64</v>
      </c>
      <c r="C179" s="8">
        <v>38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0.24</v>
      </c>
      <c r="C182" s="8">
        <v>62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0.36</v>
      </c>
      <c r="C185" s="8">
        <v>68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0.45</v>
      </c>
      <c r="C188" s="8">
        <v>28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0.27</v>
      </c>
      <c r="C191" s="8">
        <v>52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20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25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29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41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38.24</v>
      </c>
      <c r="C208" s="9">
        <v>55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0.21</v>
      </c>
      <c r="C211" s="8">
        <v>36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0.27</v>
      </c>
      <c r="C214" s="8">
        <v>98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1.43</v>
      </c>
      <c r="C219" s="8">
        <v>11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1.27</v>
      </c>
      <c r="C223" s="8">
        <v>14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21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17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0.12</v>
      </c>
      <c r="C232" s="8">
        <v>48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0.03</v>
      </c>
      <c r="C235" s="8">
        <v>32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8">
        <v>30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8">
        <v>30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41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35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0.03</v>
      </c>
      <c r="C258" s="8">
        <v>82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2.73</v>
      </c>
      <c r="C266" s="8">
        <v>78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1.76</v>
      </c>
      <c r="C269" s="8">
        <v>84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1.39</v>
      </c>
      <c r="C272" s="8">
        <v>82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</v>
      </c>
      <c r="C275" s="8">
        <v>65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0.33</v>
      </c>
      <c r="C278" s="8">
        <v>61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0.76</v>
      </c>
      <c r="C282" s="8">
        <v>34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1.43</v>
      </c>
      <c r="C285" s="8">
        <v>16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0.53200000000000003</v>
      </c>
      <c r="C288" s="8">
        <v>76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0.67</v>
      </c>
      <c r="C291" s="8">
        <v>85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1.0900000000000001</v>
      </c>
      <c r="C295" s="8">
        <v>31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0.27</v>
      </c>
      <c r="C298" s="8">
        <v>51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0.82</v>
      </c>
      <c r="C301" s="8">
        <v>33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1.24</v>
      </c>
      <c r="C305" s="8">
        <v>76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3.97</v>
      </c>
      <c r="C308" s="8">
        <v>81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1.94</v>
      </c>
      <c r="C311" s="8">
        <v>84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71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55.1</v>
      </c>
      <c r="C319" s="8">
        <v>45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3.94</v>
      </c>
      <c r="C322" s="8">
        <v>86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16.89</v>
      </c>
      <c r="C325" s="8">
        <v>82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29.72</v>
      </c>
      <c r="C328" s="8">
        <v>53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9.34</v>
      </c>
      <c r="C331" s="8">
        <v>9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1.55</v>
      </c>
      <c r="C334" s="8">
        <v>48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55.1</v>
      </c>
      <c r="C337" s="8">
        <v>45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1.39</v>
      </c>
      <c r="C341" s="8">
        <v>44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0.76</v>
      </c>
      <c r="C344" s="8">
        <v>49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0.54300000000000004</v>
      </c>
      <c r="C347" s="8">
        <v>74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0.57999999999999996</v>
      </c>
      <c r="C350" s="8">
        <v>47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0.41299999999999998</v>
      </c>
      <c r="C353" s="8">
        <v>55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28.26</v>
      </c>
      <c r="C357" s="8">
        <v>40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148.65</v>
      </c>
      <c r="C360" s="8">
        <v>43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69.17</v>
      </c>
      <c r="C363" s="8">
        <v>43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0.97</v>
      </c>
      <c r="C367" s="9">
        <v>31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0.94</v>
      </c>
      <c r="C370" s="8">
        <v>28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0.09</v>
      </c>
      <c r="C373" s="8">
        <v>25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</v>
      </c>
      <c r="C376" s="8">
        <v>65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0.67</v>
      </c>
      <c r="C379" s="8">
        <v>75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36.479999999999997</v>
      </c>
      <c r="C383" s="8">
        <v>51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1.49</v>
      </c>
      <c r="C386" s="9">
        <v>29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0.36</v>
      </c>
      <c r="C391" s="9">
        <v>19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0.03</v>
      </c>
      <c r="C394" s="9">
        <v>11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0.03</v>
      </c>
      <c r="C397" s="8">
        <v>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1.3</v>
      </c>
      <c r="C400" s="8">
        <v>42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0.73</v>
      </c>
      <c r="C403" s="8">
        <v>26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0.24</v>
      </c>
      <c r="C406" s="8">
        <v>14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0.45</v>
      </c>
      <c r="C409" s="9">
        <v>28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1.24</v>
      </c>
      <c r="C413" s="9">
        <v>76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1.76</v>
      </c>
      <c r="C416" s="9">
        <v>84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44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60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6.03</v>
      </c>
      <c r="C428" s="8">
        <v>69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1.06</v>
      </c>
      <c r="C432" s="8">
        <v>71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1.24</v>
      </c>
      <c r="C435" s="8">
        <v>29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0.46100000000000002</v>
      </c>
      <c r="C438" s="8">
        <v>55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topLeftCell="A432" workbookViewId="0">
      <selection activeCell="G456" sqref="G45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0.04</v>
      </c>
      <c r="C2" s="8">
        <v>36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0.04</v>
      </c>
      <c r="C5" s="8">
        <v>33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7.0000000000000007E-2</v>
      </c>
      <c r="C8" s="8">
        <v>23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0.04</v>
      </c>
      <c r="C11" s="8">
        <v>37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46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7.0000000000000007E-2</v>
      </c>
      <c r="C20" s="8">
        <v>86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0.04</v>
      </c>
      <c r="C23" s="8">
        <v>7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0.09</v>
      </c>
      <c r="C26" s="8">
        <v>46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0.09</v>
      </c>
      <c r="C29" s="8">
        <v>49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0.08</v>
      </c>
      <c r="C32" s="8">
        <v>41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0.17</v>
      </c>
      <c r="C35" s="8">
        <v>43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2.15</v>
      </c>
      <c r="C39" s="8">
        <v>72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3.06</v>
      </c>
      <c r="C42" s="8">
        <v>21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4.71</v>
      </c>
      <c r="C45" s="8">
        <v>77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0.04</v>
      </c>
      <c r="C50" s="9">
        <v>36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1.02</v>
      </c>
      <c r="C53" s="8">
        <v>46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0.33</v>
      </c>
      <c r="C56" s="8">
        <v>50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0.32100000000000001</v>
      </c>
      <c r="C59" s="8">
        <v>55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0.04</v>
      </c>
      <c r="C62" s="8">
        <v>42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0.11</v>
      </c>
      <c r="C65" s="8">
        <v>35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17.600000000000001</v>
      </c>
      <c r="C68" s="8">
        <v>71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0.04</v>
      </c>
      <c r="C71" s="8">
        <v>73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46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0.09</v>
      </c>
      <c r="C81" s="9">
        <v>46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0.09</v>
      </c>
      <c r="C84" s="9">
        <v>49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0.09</v>
      </c>
      <c r="C87" s="8">
        <v>64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-0.05</v>
      </c>
      <c r="C90" s="8">
        <v>22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-0.05</v>
      </c>
      <c r="C93" s="8">
        <v>22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29.84</v>
      </c>
      <c r="C98" s="8">
        <v>27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37.5</v>
      </c>
      <c r="C101" s="8">
        <v>23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0.79600000000000004</v>
      </c>
      <c r="C104" s="8">
        <v>45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548.5</v>
      </c>
      <c r="C107" s="8">
        <v>42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107.77</v>
      </c>
      <c r="C110" s="8">
        <v>14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14.12</v>
      </c>
      <c r="C114" s="8">
        <v>15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16.45</v>
      </c>
      <c r="C117" s="8">
        <v>15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0.85799999999999998</v>
      </c>
      <c r="C120" s="8">
        <v>30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10.58</v>
      </c>
      <c r="C124" s="8">
        <v>27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12.37</v>
      </c>
      <c r="C127" s="8">
        <v>25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0.85499999999999998</v>
      </c>
      <c r="C130" s="8">
        <v>51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4.34</v>
      </c>
      <c r="C134" s="8">
        <v>81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6.31</v>
      </c>
      <c r="C137" s="8">
        <v>73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0.68799999999999994</v>
      </c>
      <c r="C140" s="8">
        <v>72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0.04</v>
      </c>
      <c r="C143" s="9">
        <v>33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0.08</v>
      </c>
      <c r="C146" s="9">
        <v>41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0.05</v>
      </c>
      <c r="C149" s="8">
        <v>28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0.99</v>
      </c>
      <c r="C152" s="8">
        <v>51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2.5499999999999998</v>
      </c>
      <c r="C155" s="8">
        <v>25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0.69</v>
      </c>
      <c r="C158" s="8">
        <v>40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0.26</v>
      </c>
      <c r="C161" s="8">
        <v>73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3.06</v>
      </c>
      <c r="C164" s="9">
        <v>21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37.5</v>
      </c>
      <c r="C169" s="9">
        <v>23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36.26</v>
      </c>
      <c r="C173" s="8">
        <v>30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1.1299999999999999</v>
      </c>
      <c r="C176" s="8">
        <v>31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0.51</v>
      </c>
      <c r="C179" s="8">
        <v>34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0.22</v>
      </c>
      <c r="C182" s="8">
        <v>57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1.2</v>
      </c>
      <c r="C185" s="8">
        <v>98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1.57</v>
      </c>
      <c r="C188" s="8">
        <v>62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0.28999999999999998</v>
      </c>
      <c r="C191" s="8">
        <v>62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0.33</v>
      </c>
      <c r="C194" s="8">
        <v>68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0.11</v>
      </c>
      <c r="C198" s="8">
        <v>66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0.15</v>
      </c>
      <c r="C201" s="8">
        <v>76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29.84</v>
      </c>
      <c r="C208" s="9">
        <v>27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0.11</v>
      </c>
      <c r="C211" s="8">
        <v>65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0.84</v>
      </c>
      <c r="C214" s="8">
        <v>66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2.15</v>
      </c>
      <c r="C219" s="8">
        <v>40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1.79</v>
      </c>
      <c r="C223" s="8">
        <v>47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7.0000000000000007E-2</v>
      </c>
      <c r="C226" s="8">
        <v>58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0.15</v>
      </c>
      <c r="C229" s="8">
        <v>69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7.0000000000000007E-2</v>
      </c>
      <c r="C232" s="8">
        <v>31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7.0000000000000007E-2</v>
      </c>
      <c r="C235" s="8">
        <v>43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0.18</v>
      </c>
      <c r="C242" s="8">
        <v>42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8">
        <v>37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40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7.0000000000000007E-2</v>
      </c>
      <c r="C252" s="8">
        <v>94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36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36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2.44</v>
      </c>
      <c r="C266" s="8">
        <v>67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1.57</v>
      </c>
      <c r="C269" s="8">
        <v>80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1.31</v>
      </c>
      <c r="C272" s="8">
        <v>86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0.8</v>
      </c>
      <c r="C275" s="8">
        <v>37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0.33</v>
      </c>
      <c r="C278" s="8">
        <v>62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1.02</v>
      </c>
      <c r="C282" s="8">
        <v>74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2.23</v>
      </c>
      <c r="C285" s="8">
        <v>68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0.45900000000000002</v>
      </c>
      <c r="C288" s="8">
        <v>58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1.2</v>
      </c>
      <c r="C291" s="8">
        <v>37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1.28</v>
      </c>
      <c r="C295" s="8">
        <v>46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0.15</v>
      </c>
      <c r="C298" s="8">
        <v>25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1.1299999999999999</v>
      </c>
      <c r="C301" s="8">
        <v>60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0.57999999999999996</v>
      </c>
      <c r="C305" s="8">
        <v>16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3.03</v>
      </c>
      <c r="C308" s="8">
        <v>42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1.28</v>
      </c>
      <c r="C311" s="8">
        <v>55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7.0000000000000007E-2</v>
      </c>
      <c r="C314" s="8">
        <v>13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49.4</v>
      </c>
      <c r="C319" s="8">
        <v>26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2.33</v>
      </c>
      <c r="C322" s="8">
        <v>50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11.86</v>
      </c>
      <c r="C325" s="8">
        <v>51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23.93</v>
      </c>
      <c r="C328" s="8">
        <v>26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14.48</v>
      </c>
      <c r="C331" s="8">
        <v>50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1.9</v>
      </c>
      <c r="C334" s="8">
        <v>56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49.4</v>
      </c>
      <c r="C337" s="8">
        <v>26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3.1</v>
      </c>
      <c r="C341" s="8">
        <v>87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1.61</v>
      </c>
      <c r="C344" s="8">
        <v>90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0.51800000000000002</v>
      </c>
      <c r="C347" s="8">
        <v>55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1.02</v>
      </c>
      <c r="C350" s="8">
        <v>20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0.32900000000000001</v>
      </c>
      <c r="C353" s="8">
        <v>65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31.05</v>
      </c>
      <c r="C357" s="8">
        <v>50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201.12</v>
      </c>
      <c r="C360" s="8">
        <v>78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96.31</v>
      </c>
      <c r="C363" s="8">
        <v>79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2.15</v>
      </c>
      <c r="C367" s="9">
        <v>72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1.97</v>
      </c>
      <c r="C370" s="8">
        <v>82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0.36</v>
      </c>
      <c r="C373" s="8">
        <v>70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1.5</v>
      </c>
      <c r="C376" s="8">
        <v>38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1.42</v>
      </c>
      <c r="C379" s="8">
        <v>19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34.4</v>
      </c>
      <c r="C383" s="8">
        <v>44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4.71</v>
      </c>
      <c r="C386" s="9">
        <v>77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7.0000000000000007E-2</v>
      </c>
      <c r="C391" s="9">
        <v>86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0.04</v>
      </c>
      <c r="C394" s="9">
        <v>7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1.35</v>
      </c>
      <c r="C400" s="8">
        <v>43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1.79</v>
      </c>
      <c r="C403" s="8">
        <v>84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7.0000000000000007E-2</v>
      </c>
      <c r="C406" s="8">
        <v>32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1.57</v>
      </c>
      <c r="C409" s="9">
        <v>62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0.57999999999999996</v>
      </c>
      <c r="C413" s="9">
        <v>16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1.57</v>
      </c>
      <c r="C416" s="9">
        <v>80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43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0.04</v>
      </c>
      <c r="C422" s="8">
        <v>8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54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5.62</v>
      </c>
      <c r="C428" s="8">
        <v>34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0.8</v>
      </c>
      <c r="C432" s="8">
        <v>49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1.0900000000000001</v>
      </c>
      <c r="C435" s="8">
        <v>38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0.42299999999999999</v>
      </c>
      <c r="C438" s="8">
        <v>37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F7FF-D4AE-EA4A-9CF3-34A49925B2D5}">
  <dimension ref="A1:C440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8">
        <v>16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0.1</v>
      </c>
      <c r="C5" s="8">
        <v>59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0.1</v>
      </c>
      <c r="C8" s="8">
        <v>32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</v>
      </c>
      <c r="C11" s="8">
        <v>16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46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0.15</v>
      </c>
      <c r="C20" s="8">
        <v>68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7.0000000000000007E-2</v>
      </c>
      <c r="C26" s="8">
        <v>34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7.0000000000000007E-2</v>
      </c>
      <c r="C29" s="8">
        <v>37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0.13</v>
      </c>
      <c r="C32" s="8">
        <v>70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0.2</v>
      </c>
      <c r="C35" s="8">
        <v>51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1.1599999999999999</v>
      </c>
      <c r="C39" s="8">
        <v>48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6.67</v>
      </c>
      <c r="C42" s="8">
        <v>82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1.62</v>
      </c>
      <c r="C45" s="8">
        <v>43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</v>
      </c>
      <c r="C50" s="9">
        <v>16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0.81</v>
      </c>
      <c r="C53" s="8">
        <v>30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0.15</v>
      </c>
      <c r="C56" s="8">
        <v>23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0.188</v>
      </c>
      <c r="C59" s="8">
        <v>18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</v>
      </c>
      <c r="C62" s="8">
        <v>16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</v>
      </c>
      <c r="C65" s="8">
        <v>16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18.399999999999999</v>
      </c>
      <c r="C68" s="8">
        <v>62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0.15</v>
      </c>
      <c r="C71" s="8">
        <v>86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46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7.0000000000000007E-2</v>
      </c>
      <c r="C81" s="9">
        <v>34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7.0000000000000007E-2</v>
      </c>
      <c r="C84" s="9">
        <v>37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0.08</v>
      </c>
      <c r="C87" s="8">
        <v>50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-7.0000000000000007E-2</v>
      </c>
      <c r="C90" s="8">
        <v>16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-7.0000000000000007E-2</v>
      </c>
      <c r="C93" s="8">
        <v>17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42.98</v>
      </c>
      <c r="C98" s="8">
        <v>67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53.44</v>
      </c>
      <c r="C101" s="8">
        <v>70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0.80400000000000005</v>
      </c>
      <c r="C104" s="8">
        <v>52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791.19</v>
      </c>
      <c r="C107" s="8">
        <v>74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208.52</v>
      </c>
      <c r="C110" s="8">
        <v>76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16.329999999999998</v>
      </c>
      <c r="C114" s="8">
        <v>40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18.3</v>
      </c>
      <c r="C117" s="8">
        <v>33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0.89200000000000002</v>
      </c>
      <c r="C120" s="8">
        <v>60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20.83</v>
      </c>
      <c r="C124" s="8">
        <v>87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24.27</v>
      </c>
      <c r="C127" s="8">
        <v>89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0.85799999999999998</v>
      </c>
      <c r="C130" s="8">
        <v>54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4.5999999999999996</v>
      </c>
      <c r="C134" s="8">
        <v>82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7.43</v>
      </c>
      <c r="C137" s="8">
        <v>79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0.61899999999999999</v>
      </c>
      <c r="C140" s="8">
        <v>55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0.1</v>
      </c>
      <c r="C143" s="9">
        <v>59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0.13</v>
      </c>
      <c r="C146" s="9">
        <v>70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0.1</v>
      </c>
      <c r="C149" s="8">
        <v>55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1.82</v>
      </c>
      <c r="C152" s="8">
        <v>90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5.31</v>
      </c>
      <c r="C155" s="8">
        <v>82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1.1599999999999999</v>
      </c>
      <c r="C158" s="8">
        <v>70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0.2</v>
      </c>
      <c r="C161" s="8">
        <v>69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6.67</v>
      </c>
      <c r="C164" s="9">
        <v>82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53.44</v>
      </c>
      <c r="C169" s="9">
        <v>70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47.33</v>
      </c>
      <c r="C173" s="8">
        <v>63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5.87</v>
      </c>
      <c r="C176" s="8">
        <v>93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2.78</v>
      </c>
      <c r="C179" s="8">
        <v>95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0.35</v>
      </c>
      <c r="C182" s="8">
        <v>72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0.3</v>
      </c>
      <c r="C185" s="8">
        <v>53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2.98</v>
      </c>
      <c r="C188" s="8">
        <v>83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0.15</v>
      </c>
      <c r="C191" s="8">
        <v>40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1.72</v>
      </c>
      <c r="C194" s="8">
        <v>86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0.51</v>
      </c>
      <c r="C198" s="8">
        <v>80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0.76</v>
      </c>
      <c r="C201" s="8">
        <v>94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42.98</v>
      </c>
      <c r="C208" s="9">
        <v>67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0.25</v>
      </c>
      <c r="C211" s="8">
        <v>23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1.01</v>
      </c>
      <c r="C214" s="8">
        <v>47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3.34</v>
      </c>
      <c r="C219" s="8">
        <v>83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2.48</v>
      </c>
      <c r="C223" s="8">
        <v>80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0.71</v>
      </c>
      <c r="C226" s="8">
        <v>90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15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</v>
      </c>
      <c r="C232" s="8">
        <v>45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0.05</v>
      </c>
      <c r="C235" s="8">
        <v>32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8">
        <v>30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0.15</v>
      </c>
      <c r="C246" s="8">
        <v>50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40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39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36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36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2.58</v>
      </c>
      <c r="C266" s="8">
        <v>79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1.52</v>
      </c>
      <c r="C269" s="8">
        <v>75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1.21</v>
      </c>
      <c r="C272" s="8">
        <v>79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1.06</v>
      </c>
      <c r="C275" s="8">
        <v>64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0.3</v>
      </c>
      <c r="C278" s="8">
        <v>58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0.96</v>
      </c>
      <c r="C282" s="8">
        <v>67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2.33</v>
      </c>
      <c r="C285" s="8">
        <v>73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0.41299999999999998</v>
      </c>
      <c r="C288" s="8">
        <v>43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1.37</v>
      </c>
      <c r="C291" s="8">
        <v>26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1.1100000000000001</v>
      </c>
      <c r="C295" s="8">
        <v>33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0.3</v>
      </c>
      <c r="C298" s="8">
        <v>59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0.81</v>
      </c>
      <c r="C301" s="8">
        <v>29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0.91</v>
      </c>
      <c r="C305" s="8">
        <v>42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3.49</v>
      </c>
      <c r="C308" s="8">
        <v>67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1.01</v>
      </c>
      <c r="C311" s="8">
        <v>43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69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61.58</v>
      </c>
      <c r="C319" s="8">
        <v>65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2.12</v>
      </c>
      <c r="C322" s="8">
        <v>45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12.29</v>
      </c>
      <c r="C325" s="8">
        <v>55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33.270000000000003</v>
      </c>
      <c r="C328" s="8">
        <v>62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16.43</v>
      </c>
      <c r="C331" s="8">
        <v>60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0.76</v>
      </c>
      <c r="C334" s="8">
        <v>31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61.58</v>
      </c>
      <c r="C337" s="8">
        <v>65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0.76</v>
      </c>
      <c r="C341" s="8">
        <v>14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0.4</v>
      </c>
      <c r="C344" s="8">
        <v>19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0.53300000000000003</v>
      </c>
      <c r="C347" s="8">
        <v>61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0.35</v>
      </c>
      <c r="C350" s="8">
        <v>71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0.46700000000000003</v>
      </c>
      <c r="C353" s="8">
        <v>17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31.1</v>
      </c>
      <c r="C357" s="8">
        <v>50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129.13</v>
      </c>
      <c r="C360" s="8">
        <v>31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68.260000000000005</v>
      </c>
      <c r="C363" s="8">
        <v>45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1.1599999999999999</v>
      </c>
      <c r="C367" s="9">
        <v>48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1.1599999999999999</v>
      </c>
      <c r="C370" s="8">
        <v>50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9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0.71</v>
      </c>
      <c r="C376" s="8">
        <v>90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0.35</v>
      </c>
      <c r="C379" s="8">
        <v>96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38.880000000000003</v>
      </c>
      <c r="C383" s="8">
        <v>59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1.62</v>
      </c>
      <c r="C386" s="9">
        <v>43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0.15</v>
      </c>
      <c r="C391" s="9">
        <v>68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1.57</v>
      </c>
      <c r="C400" s="8">
        <v>27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0.76</v>
      </c>
      <c r="C403" s="8">
        <v>28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0.05</v>
      </c>
      <c r="C406" s="8">
        <v>45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2.98</v>
      </c>
      <c r="C409" s="9">
        <v>83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0.91</v>
      </c>
      <c r="C413" s="9">
        <v>42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1.52</v>
      </c>
      <c r="C416" s="9">
        <v>75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43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57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54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5.36</v>
      </c>
      <c r="C428" s="8">
        <v>27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0.4</v>
      </c>
      <c r="C432" s="8">
        <v>16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1.1599999999999999</v>
      </c>
      <c r="C435" s="8">
        <v>30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0.25800000000000001</v>
      </c>
      <c r="C438" s="8">
        <v>8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B38-1075-5840-9243-8EB8FCB14039}">
  <dimension ref="A1:C440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0.18</v>
      </c>
      <c r="C2" s="8">
        <v>77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0.03</v>
      </c>
      <c r="C5" s="8">
        <v>28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0.21</v>
      </c>
      <c r="C8" s="8">
        <v>60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0.09</v>
      </c>
      <c r="C11" s="8">
        <v>55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0.09</v>
      </c>
      <c r="C14" s="8">
        <v>99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0.09</v>
      </c>
      <c r="C17" s="8">
        <v>98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0.36</v>
      </c>
      <c r="C20" s="8">
        <v>20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55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0.16</v>
      </c>
      <c r="C26" s="8">
        <v>81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0.08</v>
      </c>
      <c r="C29" s="8">
        <v>46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0.05</v>
      </c>
      <c r="C32" s="8">
        <v>23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0.13</v>
      </c>
      <c r="C35" s="8">
        <v>30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0.83</v>
      </c>
      <c r="C39" s="8">
        <v>27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6.5</v>
      </c>
      <c r="C42" s="8">
        <v>80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0.54</v>
      </c>
      <c r="C45" s="8">
        <v>13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0.18</v>
      </c>
      <c r="C50" s="9">
        <v>77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1.88</v>
      </c>
      <c r="C53" s="8">
        <v>86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0.39</v>
      </c>
      <c r="C56" s="8">
        <v>60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0.20599999999999999</v>
      </c>
      <c r="C59" s="8">
        <v>23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0.05</v>
      </c>
      <c r="C62" s="8">
        <v>47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0.23</v>
      </c>
      <c r="C65" s="8">
        <v>50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26.7</v>
      </c>
      <c r="C68" s="8">
        <v>10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0.33</v>
      </c>
      <c r="C71" s="8">
        <v>97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0.09</v>
      </c>
      <c r="C74" s="9">
        <v>99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0.09</v>
      </c>
      <c r="C77" s="9">
        <v>98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0.16</v>
      </c>
      <c r="C81" s="9">
        <v>81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0.08</v>
      </c>
      <c r="C84" s="9">
        <v>46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0.04</v>
      </c>
      <c r="C87" s="8">
        <v>13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0.02</v>
      </c>
      <c r="C90" s="8">
        <v>62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0.01</v>
      </c>
      <c r="C93" s="8">
        <v>60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51.57</v>
      </c>
      <c r="C98" s="8">
        <v>81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62.78</v>
      </c>
      <c r="C101" s="8">
        <v>84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0.82099999999999995</v>
      </c>
      <c r="C104" s="8">
        <v>60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1092.46</v>
      </c>
      <c r="C107" s="8">
        <v>97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299.27</v>
      </c>
      <c r="C110" s="8">
        <v>93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17.23</v>
      </c>
      <c r="C114" s="8">
        <v>46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18.93</v>
      </c>
      <c r="C117" s="8">
        <v>40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0.91</v>
      </c>
      <c r="C120" s="8">
        <v>78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24.56</v>
      </c>
      <c r="C124" s="8">
        <v>93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27.61</v>
      </c>
      <c r="C127" s="8">
        <v>95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0.89</v>
      </c>
      <c r="C130" s="8">
        <v>78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9.3000000000000007</v>
      </c>
      <c r="C134" s="8">
        <v>98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14.13</v>
      </c>
      <c r="C137" s="8">
        <v>99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0.65800000000000003</v>
      </c>
      <c r="C140" s="8">
        <v>65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0.03</v>
      </c>
      <c r="C143" s="9">
        <v>28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0.05</v>
      </c>
      <c r="C146" s="9">
        <v>23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0.04</v>
      </c>
      <c r="C149" s="8">
        <v>26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0.95</v>
      </c>
      <c r="C152" s="8">
        <v>50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6.02</v>
      </c>
      <c r="C155" s="8">
        <v>88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0.45</v>
      </c>
      <c r="C158" s="8">
        <v>27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0.03</v>
      </c>
      <c r="C161" s="8">
        <v>24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6.5</v>
      </c>
      <c r="C164" s="9">
        <v>80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62.78</v>
      </c>
      <c r="C169" s="9">
        <v>84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57.98</v>
      </c>
      <c r="C173" s="8">
        <v>81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4.5599999999999996</v>
      </c>
      <c r="C176" s="8">
        <v>84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3.43</v>
      </c>
      <c r="C179" s="8">
        <v>97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0.21</v>
      </c>
      <c r="C182" s="8">
        <v>56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0.72</v>
      </c>
      <c r="C185" s="8">
        <v>88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1.58</v>
      </c>
      <c r="C188" s="8">
        <v>64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0.33</v>
      </c>
      <c r="C191" s="8">
        <v>65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0.63</v>
      </c>
      <c r="C194" s="8">
        <v>75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0.09</v>
      </c>
      <c r="C198" s="8">
        <v>64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0.48</v>
      </c>
      <c r="C201" s="8">
        <v>88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42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51.57</v>
      </c>
      <c r="C208" s="9">
        <v>81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0.24</v>
      </c>
      <c r="C211" s="8">
        <v>26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0.89</v>
      </c>
      <c r="C214" s="8">
        <v>60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2.38</v>
      </c>
      <c r="C219" s="8">
        <v>45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1.64</v>
      </c>
      <c r="C223" s="8">
        <v>40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0.33</v>
      </c>
      <c r="C226" s="8">
        <v>77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0.09</v>
      </c>
      <c r="C229" s="8">
        <v>54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0.12</v>
      </c>
      <c r="C232" s="8">
        <v>54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0.09</v>
      </c>
      <c r="C235" s="8">
        <v>49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0.12</v>
      </c>
      <c r="C238" s="8">
        <v>88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0.09</v>
      </c>
      <c r="C242" s="8">
        <v>20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8">
        <v>23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0.03</v>
      </c>
      <c r="C249" s="8">
        <v>81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39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36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36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2.36</v>
      </c>
      <c r="C266" s="8">
        <v>63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1.28</v>
      </c>
      <c r="C269" s="8">
        <v>58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0.92</v>
      </c>
      <c r="C272" s="8">
        <v>55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0.98</v>
      </c>
      <c r="C275" s="8">
        <v>57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0.45</v>
      </c>
      <c r="C278" s="8">
        <v>82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0.95</v>
      </c>
      <c r="C282" s="8">
        <v>65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2.27</v>
      </c>
      <c r="C285" s="8">
        <v>69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0.42099999999999999</v>
      </c>
      <c r="C288" s="8">
        <v>50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1.31</v>
      </c>
      <c r="C291" s="8">
        <v>28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1.76</v>
      </c>
      <c r="C295" s="8">
        <v>83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0.66</v>
      </c>
      <c r="C298" s="8">
        <v>96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1.1000000000000001</v>
      </c>
      <c r="C301" s="8">
        <v>57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1.49</v>
      </c>
      <c r="C305" s="8">
        <v>86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3.85</v>
      </c>
      <c r="C308" s="8">
        <v>80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2.5299999999999998</v>
      </c>
      <c r="C311" s="8">
        <v>97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0.03</v>
      </c>
      <c r="C314" s="8">
        <v>34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74.11</v>
      </c>
      <c r="C319" s="8">
        <v>88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5.28</v>
      </c>
      <c r="C322" s="8">
        <v>99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24.18</v>
      </c>
      <c r="C325" s="8">
        <v>99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38.96</v>
      </c>
      <c r="C328" s="8">
        <v>83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11.75</v>
      </c>
      <c r="C331" s="8">
        <v>36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0.75</v>
      </c>
      <c r="C334" s="8">
        <v>30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74.02</v>
      </c>
      <c r="C337" s="8">
        <v>88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0.95</v>
      </c>
      <c r="C341" s="8">
        <v>23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0.6</v>
      </c>
      <c r="C344" s="8">
        <v>29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0.625</v>
      </c>
      <c r="C347" s="8">
        <v>83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0.27</v>
      </c>
      <c r="C350" s="8">
        <v>82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0.28100000000000003</v>
      </c>
      <c r="C353" s="8">
        <v>75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39.29</v>
      </c>
      <c r="C357" s="8">
        <v>77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179.08</v>
      </c>
      <c r="C360" s="8">
        <v>65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88.84</v>
      </c>
      <c r="C363" s="8">
        <v>71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0.83</v>
      </c>
      <c r="C367" s="9">
        <v>27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0.86</v>
      </c>
      <c r="C370" s="8">
        <v>30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0.03</v>
      </c>
      <c r="C373" s="8">
        <v>20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0.66</v>
      </c>
      <c r="C376" s="8">
        <v>95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0.39</v>
      </c>
      <c r="C379" s="8">
        <v>94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48.32</v>
      </c>
      <c r="C383" s="8">
        <v>77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0.54</v>
      </c>
      <c r="C386" s="9">
        <v>13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0.36</v>
      </c>
      <c r="C391" s="9">
        <v>20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55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1.1299999999999999</v>
      </c>
      <c r="C400" s="8">
        <v>60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0.54</v>
      </c>
      <c r="C403" s="8">
        <v>18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0.03</v>
      </c>
      <c r="C406" s="8">
        <v>57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1.58</v>
      </c>
      <c r="C409" s="9">
        <v>64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1.49</v>
      </c>
      <c r="C413" s="9">
        <v>86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1.28</v>
      </c>
      <c r="C416" s="9">
        <v>58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43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0.03</v>
      </c>
      <c r="C422" s="8">
        <v>12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54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7.07</v>
      </c>
      <c r="C428" s="8">
        <v>78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0.75</v>
      </c>
      <c r="C432" s="8">
        <v>41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0.75</v>
      </c>
      <c r="C435" s="8">
        <v>67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0.5</v>
      </c>
      <c r="C438" s="8">
        <v>56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DD44-FFD0-C741-BD32-ADFC7C086B4B}">
  <dimension ref="A1:C440"/>
  <sheetViews>
    <sheetView workbookViewId="0">
      <selection activeCell="G12" sqref="G12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8">
        <v>14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</v>
      </c>
      <c r="C5" s="8">
        <v>13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</v>
      </c>
      <c r="C8" s="8">
        <v>7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</v>
      </c>
      <c r="C11" s="8">
        <v>14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45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0.44</v>
      </c>
      <c r="C20" s="8">
        <v>7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58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0.03</v>
      </c>
      <c r="C26" s="8">
        <v>18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0.03</v>
      </c>
      <c r="C29" s="8">
        <v>18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0.04</v>
      </c>
      <c r="C32" s="8">
        <v>20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0.08</v>
      </c>
      <c r="C35" s="8">
        <v>14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0.99</v>
      </c>
      <c r="C39" s="8">
        <v>34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3.19</v>
      </c>
      <c r="C42" s="8">
        <v>18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1.65</v>
      </c>
      <c r="C45" s="8">
        <v>34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</v>
      </c>
      <c r="C50" s="9">
        <v>14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1.21</v>
      </c>
      <c r="C53" s="8">
        <v>47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0.11</v>
      </c>
      <c r="C56" s="8">
        <v>11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9.0999999999999998E-2</v>
      </c>
      <c r="C59" s="8">
        <v>5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</v>
      </c>
      <c r="C62" s="8">
        <v>14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</v>
      </c>
      <c r="C65" s="8">
        <v>14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27.9</v>
      </c>
      <c r="C68" s="8">
        <v>2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33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0.03</v>
      </c>
      <c r="C81" s="9">
        <v>18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0.03</v>
      </c>
      <c r="C84" s="9">
        <v>18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0.03</v>
      </c>
      <c r="C87" s="8">
        <v>6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-0.03</v>
      </c>
      <c r="C90" s="8">
        <v>34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-0.03</v>
      </c>
      <c r="C93" s="8">
        <v>34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42.09</v>
      </c>
      <c r="C98" s="8">
        <v>61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50</v>
      </c>
      <c r="C101" s="8">
        <v>59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0.84199999999999997</v>
      </c>
      <c r="C104" s="8">
        <v>63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642.75</v>
      </c>
      <c r="C107" s="8">
        <v>56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149.44999999999999</v>
      </c>
      <c r="C110" s="8">
        <v>35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22.75</v>
      </c>
      <c r="C114" s="8">
        <v>63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25.71</v>
      </c>
      <c r="C117" s="8">
        <v>64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0.88500000000000001</v>
      </c>
      <c r="C120" s="8">
        <v>41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15.16</v>
      </c>
      <c r="C124" s="8">
        <v>57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17.36</v>
      </c>
      <c r="C127" s="8">
        <v>58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0.873</v>
      </c>
      <c r="C130" s="8">
        <v>59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2.5299999999999998</v>
      </c>
      <c r="C134" s="8">
        <v>47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3.74</v>
      </c>
      <c r="C137" s="8">
        <v>38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0.67600000000000005</v>
      </c>
      <c r="C140" s="8">
        <v>77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</v>
      </c>
      <c r="C143" s="9">
        <v>13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0.04</v>
      </c>
      <c r="C146" s="9">
        <v>20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8">
        <v>8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0.66</v>
      </c>
      <c r="C152" s="8">
        <v>22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3.74</v>
      </c>
      <c r="C155" s="8">
        <v>59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0.77</v>
      </c>
      <c r="C158" s="8">
        <v>40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0.33</v>
      </c>
      <c r="C161" s="8">
        <v>82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3.19</v>
      </c>
      <c r="C164" s="9">
        <v>18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50</v>
      </c>
      <c r="C169" s="9">
        <v>59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48.79</v>
      </c>
      <c r="C173" s="8">
        <v>64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1.1000000000000001</v>
      </c>
      <c r="C176" s="8">
        <v>27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0.44</v>
      </c>
      <c r="C179" s="8">
        <v>29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</v>
      </c>
      <c r="C182" s="8">
        <v>5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0.22</v>
      </c>
      <c r="C185" s="8">
        <v>46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0.66</v>
      </c>
      <c r="C188" s="8">
        <v>33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0.55000000000000004</v>
      </c>
      <c r="C191" s="8">
        <v>76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20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25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29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41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42.09</v>
      </c>
      <c r="C208" s="9">
        <v>61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0.11</v>
      </c>
      <c r="C211" s="8">
        <v>78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0.77</v>
      </c>
      <c r="C214" s="8">
        <v>69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1.43</v>
      </c>
      <c r="C219" s="8">
        <v>12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1.32</v>
      </c>
      <c r="C223" s="8">
        <v>16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21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0.11</v>
      </c>
      <c r="C229" s="8">
        <v>60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</v>
      </c>
      <c r="C232" s="8">
        <v>7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14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</v>
      </c>
      <c r="C238" s="8">
        <v>21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0.22</v>
      </c>
      <c r="C242" s="8">
        <v>45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0.22</v>
      </c>
      <c r="C246" s="8">
        <v>64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41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</v>
      </c>
      <c r="C255" s="8">
        <v>35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38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</v>
      </c>
      <c r="C261" s="8">
        <v>44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3.85</v>
      </c>
      <c r="C266" s="8">
        <v>97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2.5299999999999998</v>
      </c>
      <c r="C269" s="8">
        <v>98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1.76</v>
      </c>
      <c r="C272" s="8">
        <v>91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1.87</v>
      </c>
      <c r="C275" s="8">
        <v>99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0.22</v>
      </c>
      <c r="C278" s="8">
        <v>30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0.99</v>
      </c>
      <c r="C282" s="8">
        <v>57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2.31</v>
      </c>
      <c r="C285" s="8">
        <v>68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0.42899999999999999</v>
      </c>
      <c r="C288" s="8">
        <v>43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1.32</v>
      </c>
      <c r="C291" s="8">
        <v>29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1.32</v>
      </c>
      <c r="C295" s="8">
        <v>51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0.22</v>
      </c>
      <c r="C298" s="8">
        <v>36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1.1000000000000001</v>
      </c>
      <c r="C301" s="8">
        <v>65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0.55000000000000004</v>
      </c>
      <c r="C305" s="8">
        <v>20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4.4000000000000004</v>
      </c>
      <c r="C308" s="8">
        <v>87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0.77</v>
      </c>
      <c r="C311" s="8">
        <v>27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</v>
      </c>
      <c r="C314" s="8">
        <v>71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61.1</v>
      </c>
      <c r="C319" s="8">
        <v>63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1.87</v>
      </c>
      <c r="C322" s="8">
        <v>28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14.07</v>
      </c>
      <c r="C325" s="8">
        <v>56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38.020000000000003</v>
      </c>
      <c r="C328" s="8">
        <v>76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9.7799999999999994</v>
      </c>
      <c r="C331" s="8">
        <v>13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0.33</v>
      </c>
      <c r="C334" s="8">
        <v>5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61.1</v>
      </c>
      <c r="C337" s="8">
        <v>63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1.65</v>
      </c>
      <c r="C341" s="8">
        <v>55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1.1000000000000001</v>
      </c>
      <c r="C344" s="8">
        <v>71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0.66700000000000004</v>
      </c>
      <c r="C347" s="8">
        <v>95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0.44</v>
      </c>
      <c r="C350" s="8">
        <v>68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0.26700000000000002</v>
      </c>
      <c r="C353" s="8">
        <v>90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31.1</v>
      </c>
      <c r="C357" s="8">
        <v>54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155.71</v>
      </c>
      <c r="C360" s="8">
        <v>47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62.31</v>
      </c>
      <c r="C363" s="8">
        <v>36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0.99</v>
      </c>
      <c r="C367" s="9">
        <v>34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1.54</v>
      </c>
      <c r="C370" s="8">
        <v>58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0.11</v>
      </c>
      <c r="C373" s="8">
        <v>30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1.43</v>
      </c>
      <c r="C376" s="8">
        <v>38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1.87</v>
      </c>
      <c r="C379" s="8">
        <v>7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39.89</v>
      </c>
      <c r="C383" s="8">
        <v>60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1.65</v>
      </c>
      <c r="C386" s="9">
        <v>34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0.44</v>
      </c>
      <c r="C391" s="9">
        <v>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58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53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2.5299999999999998</v>
      </c>
      <c r="C400" s="8">
        <v>2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0.44</v>
      </c>
      <c r="C403" s="8">
        <v>9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0.11</v>
      </c>
      <c r="C406" s="8">
        <v>29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0.66</v>
      </c>
      <c r="C409" s="9">
        <v>33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0.55000000000000004</v>
      </c>
      <c r="C413" s="9">
        <v>20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2.5299999999999998</v>
      </c>
      <c r="C416" s="9">
        <v>98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44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60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52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6.81</v>
      </c>
      <c r="C428" s="8">
        <v>89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0.66</v>
      </c>
      <c r="C432" s="8">
        <v>41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1.76</v>
      </c>
      <c r="C435" s="8">
        <v>10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0.27300000000000002</v>
      </c>
      <c r="C438" s="8">
        <v>14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B9BB-3603-A946-9FF9-C7CD420AF9C4}">
  <dimension ref="A1:C440"/>
  <sheetViews>
    <sheetView workbookViewId="0">
      <selection activeCell="I10" sqref="I1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0.09</v>
      </c>
      <c r="C2" s="8">
        <v>62</v>
      </c>
    </row>
    <row r="3" spans="1:3" x14ac:dyDescent="0.2">
      <c r="A3" s="6"/>
      <c r="B3" s="6"/>
      <c r="C3" s="8"/>
    </row>
    <row r="4" spans="1:3" x14ac:dyDescent="0.2">
      <c r="A4" s="6"/>
      <c r="B4" s="6"/>
      <c r="C4" s="8"/>
    </row>
    <row r="5" spans="1:3" x14ac:dyDescent="0.2">
      <c r="A5" s="6" t="s">
        <v>4</v>
      </c>
      <c r="B5" s="6">
        <v>0.09</v>
      </c>
      <c r="C5" s="8">
        <v>58</v>
      </c>
    </row>
    <row r="6" spans="1:3" x14ac:dyDescent="0.2">
      <c r="A6" s="6"/>
      <c r="B6" s="6"/>
      <c r="C6" s="8"/>
    </row>
    <row r="7" spans="1:3" x14ac:dyDescent="0.2">
      <c r="A7" s="6"/>
      <c r="B7" s="6"/>
      <c r="C7" s="8"/>
    </row>
    <row r="8" spans="1:3" x14ac:dyDescent="0.2">
      <c r="A8" s="6" t="s">
        <v>5</v>
      </c>
      <c r="B8" s="6">
        <v>0.18</v>
      </c>
      <c r="C8" s="8">
        <v>57</v>
      </c>
    </row>
    <row r="9" spans="1:3" x14ac:dyDescent="0.2">
      <c r="A9" s="6"/>
      <c r="B9" s="6"/>
      <c r="C9" s="8"/>
    </row>
    <row r="10" spans="1:3" x14ac:dyDescent="0.2">
      <c r="A10" s="6"/>
      <c r="B10" s="6"/>
      <c r="C10" s="8"/>
    </row>
    <row r="11" spans="1:3" x14ac:dyDescent="0.2">
      <c r="A11" s="6" t="s">
        <v>6</v>
      </c>
      <c r="B11" s="6">
        <v>0.09</v>
      </c>
      <c r="C11" s="8">
        <v>63</v>
      </c>
    </row>
    <row r="12" spans="1:3" x14ac:dyDescent="0.2">
      <c r="A12" s="6"/>
      <c r="B12" s="6"/>
      <c r="C12" s="8"/>
    </row>
    <row r="13" spans="1:3" x14ac:dyDescent="0.2">
      <c r="A13" s="6"/>
      <c r="B13" s="6"/>
      <c r="C13" s="8"/>
    </row>
    <row r="14" spans="1:3" x14ac:dyDescent="0.2">
      <c r="A14" s="6" t="s">
        <v>7</v>
      </c>
      <c r="B14" s="6">
        <v>0</v>
      </c>
      <c r="C14" s="8">
        <v>46</v>
      </c>
    </row>
    <row r="15" spans="1:3" x14ac:dyDescent="0.2">
      <c r="A15" s="6"/>
      <c r="B15" s="6"/>
      <c r="C15" s="8"/>
    </row>
    <row r="16" spans="1:3" x14ac:dyDescent="0.2">
      <c r="A16" s="6"/>
      <c r="B16" s="6"/>
      <c r="C16" s="8"/>
    </row>
    <row r="17" spans="1:3" x14ac:dyDescent="0.2">
      <c r="A17" s="6" t="s">
        <v>8</v>
      </c>
      <c r="B17" s="6">
        <v>0</v>
      </c>
      <c r="C17" s="8">
        <v>45</v>
      </c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  <row r="20" spans="1:3" x14ac:dyDescent="0.2">
      <c r="A20" s="6" t="s">
        <v>9</v>
      </c>
      <c r="B20" s="6">
        <v>0.18</v>
      </c>
      <c r="C20" s="8">
        <v>51</v>
      </c>
    </row>
    <row r="21" spans="1:3" x14ac:dyDescent="0.2">
      <c r="A21" s="6"/>
      <c r="B21" s="6"/>
      <c r="C21" s="8"/>
    </row>
    <row r="22" spans="1:3" x14ac:dyDescent="0.2">
      <c r="A22" s="6"/>
      <c r="B22" s="6"/>
      <c r="C22" s="8"/>
    </row>
    <row r="23" spans="1:3" x14ac:dyDescent="0.2">
      <c r="A23" s="6" t="s">
        <v>10</v>
      </c>
      <c r="B23" s="6">
        <v>0</v>
      </c>
      <c r="C23" s="8">
        <v>54</v>
      </c>
    </row>
    <row r="24" spans="1:3" x14ac:dyDescent="0.2">
      <c r="A24" s="6"/>
      <c r="B24" s="6"/>
      <c r="C24" s="8"/>
    </row>
    <row r="25" spans="1:3" x14ac:dyDescent="0.2">
      <c r="A25" s="6"/>
      <c r="B25" s="6"/>
      <c r="C25" s="8"/>
    </row>
    <row r="26" spans="1:3" x14ac:dyDescent="0.2">
      <c r="A26" s="6" t="s">
        <v>11</v>
      </c>
      <c r="B26" s="6">
        <v>0.1</v>
      </c>
      <c r="C26" s="8">
        <v>56</v>
      </c>
    </row>
    <row r="27" spans="1:3" x14ac:dyDescent="0.2">
      <c r="A27" s="6"/>
      <c r="B27" s="6"/>
      <c r="C27" s="8"/>
    </row>
    <row r="28" spans="1:3" x14ac:dyDescent="0.2">
      <c r="A28" s="6"/>
      <c r="B28" s="6"/>
      <c r="C28" s="8"/>
    </row>
    <row r="29" spans="1:3" x14ac:dyDescent="0.2">
      <c r="A29" s="6" t="s">
        <v>12</v>
      </c>
      <c r="B29" s="6">
        <v>0.1</v>
      </c>
      <c r="C29" s="8">
        <v>62</v>
      </c>
    </row>
    <row r="30" spans="1:3" x14ac:dyDescent="0.2">
      <c r="A30" s="6"/>
      <c r="B30" s="6"/>
      <c r="C30" s="8"/>
    </row>
    <row r="31" spans="1:3" x14ac:dyDescent="0.2">
      <c r="A31" s="6"/>
      <c r="B31" s="6"/>
      <c r="C31" s="8"/>
    </row>
    <row r="32" spans="1:3" x14ac:dyDescent="0.2">
      <c r="A32" s="6" t="s">
        <v>13</v>
      </c>
      <c r="B32" s="6">
        <v>0.05</v>
      </c>
      <c r="C32" s="8">
        <v>25</v>
      </c>
    </row>
    <row r="33" spans="1:3" x14ac:dyDescent="0.2">
      <c r="A33" s="6"/>
      <c r="B33" s="6"/>
      <c r="C33" s="8"/>
    </row>
    <row r="34" spans="1:3" x14ac:dyDescent="0.2">
      <c r="A34" s="6"/>
      <c r="B34" s="6"/>
      <c r="C34" s="8"/>
    </row>
    <row r="35" spans="1:3" x14ac:dyDescent="0.2">
      <c r="A35" s="6" t="s">
        <v>14</v>
      </c>
      <c r="B35" s="6">
        <v>0.15</v>
      </c>
      <c r="C35" s="8">
        <v>46</v>
      </c>
    </row>
    <row r="36" spans="1:3" x14ac:dyDescent="0.2">
      <c r="A36" s="6"/>
      <c r="B36" s="6"/>
      <c r="C36" s="8"/>
    </row>
    <row r="37" spans="1:3" x14ac:dyDescent="0.2">
      <c r="A37" s="6"/>
      <c r="B37" s="6"/>
      <c r="C37" s="8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0.42</v>
      </c>
      <c r="C39" s="8">
        <v>6</v>
      </c>
    </row>
    <row r="40" spans="1:3" x14ac:dyDescent="0.2">
      <c r="A40" s="6"/>
      <c r="B40" s="6"/>
      <c r="C40" s="8"/>
    </row>
    <row r="41" spans="1:3" x14ac:dyDescent="0.2">
      <c r="A41" s="6"/>
      <c r="B41" s="6"/>
      <c r="C41" s="8"/>
    </row>
    <row r="42" spans="1:3" x14ac:dyDescent="0.2">
      <c r="A42" s="6" t="s">
        <v>16</v>
      </c>
      <c r="B42" s="6">
        <v>2.95</v>
      </c>
      <c r="C42" s="8">
        <v>20</v>
      </c>
    </row>
    <row r="43" spans="1:3" x14ac:dyDescent="0.2">
      <c r="A43" s="6"/>
      <c r="B43" s="6"/>
      <c r="C43" s="8"/>
    </row>
    <row r="44" spans="1:3" x14ac:dyDescent="0.2">
      <c r="A44" s="6"/>
      <c r="B44" s="6"/>
      <c r="C44" s="8"/>
    </row>
    <row r="45" spans="1:3" x14ac:dyDescent="0.2">
      <c r="A45" s="6" t="s">
        <v>17</v>
      </c>
      <c r="B45" s="6">
        <v>2.08</v>
      </c>
      <c r="C45" s="8">
        <v>45</v>
      </c>
    </row>
    <row r="46" spans="1:3" x14ac:dyDescent="0.2">
      <c r="A46" s="6"/>
      <c r="B46" s="6"/>
      <c r="C46" s="8"/>
    </row>
    <row r="47" spans="1:3" x14ac:dyDescent="0.2">
      <c r="A47" s="6"/>
      <c r="B47" s="6"/>
      <c r="C47" s="8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0.09</v>
      </c>
      <c r="C50" s="9">
        <v>62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1.06</v>
      </c>
      <c r="C53" s="8">
        <v>43</v>
      </c>
    </row>
    <row r="54" spans="1:3" x14ac:dyDescent="0.2">
      <c r="A54" s="6"/>
      <c r="B54" s="6"/>
      <c r="C54" s="8"/>
    </row>
    <row r="55" spans="1:3" x14ac:dyDescent="0.2">
      <c r="A55" s="6"/>
      <c r="B55" s="6"/>
      <c r="C55" s="8"/>
    </row>
    <row r="56" spans="1:3" x14ac:dyDescent="0.2">
      <c r="A56" s="6" t="s">
        <v>19</v>
      </c>
      <c r="B56" s="6">
        <v>0.46</v>
      </c>
      <c r="C56" s="8">
        <v>66</v>
      </c>
    </row>
    <row r="57" spans="1:3" x14ac:dyDescent="0.2">
      <c r="A57" s="6"/>
      <c r="B57" s="6"/>
      <c r="C57" s="8"/>
    </row>
    <row r="58" spans="1:3" x14ac:dyDescent="0.2">
      <c r="A58" s="6"/>
      <c r="B58" s="6"/>
      <c r="C58" s="8"/>
    </row>
    <row r="59" spans="1:3" x14ac:dyDescent="0.2">
      <c r="A59" s="6" t="s">
        <v>20</v>
      </c>
      <c r="B59" s="7">
        <v>0.435</v>
      </c>
      <c r="C59" s="8">
        <v>90</v>
      </c>
    </row>
    <row r="60" spans="1:3" x14ac:dyDescent="0.2">
      <c r="A60" s="6"/>
      <c r="B60" s="7"/>
      <c r="C60" s="8"/>
    </row>
    <row r="61" spans="1:3" x14ac:dyDescent="0.2">
      <c r="A61" s="6"/>
      <c r="B61" s="7"/>
      <c r="C61" s="8"/>
    </row>
    <row r="62" spans="1:3" x14ac:dyDescent="0.2">
      <c r="A62" s="6" t="s">
        <v>21</v>
      </c>
      <c r="B62" s="6">
        <v>0.09</v>
      </c>
      <c r="C62" s="8">
        <v>68</v>
      </c>
    </row>
    <row r="63" spans="1:3" x14ac:dyDescent="0.2">
      <c r="A63" s="6"/>
      <c r="B63" s="6"/>
      <c r="C63" s="8"/>
    </row>
    <row r="64" spans="1:3" x14ac:dyDescent="0.2">
      <c r="A64" s="6"/>
      <c r="B64" s="6"/>
      <c r="C64" s="8"/>
    </row>
    <row r="65" spans="1:3" x14ac:dyDescent="0.2">
      <c r="A65" s="6" t="s">
        <v>22</v>
      </c>
      <c r="B65" s="6">
        <v>0.2</v>
      </c>
      <c r="C65" s="8">
        <v>48</v>
      </c>
    </row>
    <row r="66" spans="1:3" x14ac:dyDescent="0.2">
      <c r="A66" s="6"/>
      <c r="B66" s="6"/>
      <c r="C66" s="8"/>
    </row>
    <row r="67" spans="1:3" x14ac:dyDescent="0.2">
      <c r="A67" s="6"/>
      <c r="B67" s="6"/>
      <c r="C67" s="8"/>
    </row>
    <row r="68" spans="1:3" x14ac:dyDescent="0.2">
      <c r="A68" s="6" t="s">
        <v>23</v>
      </c>
      <c r="B68" s="6">
        <v>16.100000000000001</v>
      </c>
      <c r="C68" s="8">
        <v>90</v>
      </c>
    </row>
    <row r="69" spans="1:3" x14ac:dyDescent="0.2">
      <c r="A69" s="6"/>
      <c r="B69" s="6"/>
      <c r="C69" s="8"/>
    </row>
    <row r="70" spans="1:3" x14ac:dyDescent="0.2">
      <c r="A70" s="6"/>
      <c r="B70" s="6"/>
      <c r="C70" s="8"/>
    </row>
    <row r="71" spans="1:3" x14ac:dyDescent="0.2">
      <c r="A71" s="6" t="s">
        <v>24</v>
      </c>
      <c r="B71" s="6">
        <v>0</v>
      </c>
      <c r="C71" s="8">
        <v>32</v>
      </c>
    </row>
    <row r="72" spans="1:3" x14ac:dyDescent="0.2">
      <c r="A72" s="6"/>
      <c r="B72" s="6"/>
      <c r="C72" s="8"/>
    </row>
    <row r="73" spans="1:3" x14ac:dyDescent="0.2">
      <c r="A73" s="6"/>
      <c r="B73" s="6"/>
      <c r="C73" s="8"/>
    </row>
    <row r="74" spans="1:3" x14ac:dyDescent="0.2">
      <c r="A74" s="6" t="s">
        <v>7</v>
      </c>
      <c r="B74" s="9">
        <v>0</v>
      </c>
      <c r="C74" s="9">
        <v>46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45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0.1</v>
      </c>
      <c r="C81" s="9">
        <v>56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0.1</v>
      </c>
      <c r="C84" s="9">
        <v>62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</v>
      </c>
      <c r="C87" s="8">
        <v>82</v>
      </c>
    </row>
    <row r="88" spans="1:3" x14ac:dyDescent="0.2">
      <c r="A88" s="6"/>
      <c r="B88" s="6"/>
      <c r="C88" s="8"/>
    </row>
    <row r="89" spans="1:3" x14ac:dyDescent="0.2">
      <c r="A89" s="6"/>
      <c r="B89" s="6"/>
      <c r="C89" s="8"/>
    </row>
    <row r="90" spans="1:3" x14ac:dyDescent="0.2">
      <c r="A90" s="6" t="s">
        <v>26</v>
      </c>
      <c r="B90" s="6">
        <v>-0.01</v>
      </c>
      <c r="C90" s="8">
        <v>50</v>
      </c>
    </row>
    <row r="91" spans="1:3" x14ac:dyDescent="0.2">
      <c r="A91" s="6"/>
      <c r="B91" s="6"/>
      <c r="C91" s="8"/>
    </row>
    <row r="92" spans="1:3" x14ac:dyDescent="0.2">
      <c r="A92" s="6"/>
      <c r="B92" s="6"/>
      <c r="C92" s="8"/>
    </row>
    <row r="93" spans="1:3" x14ac:dyDescent="0.2">
      <c r="A93" s="6" t="s">
        <v>27</v>
      </c>
      <c r="B93" s="6">
        <v>-0.01</v>
      </c>
      <c r="C93" s="8">
        <v>49</v>
      </c>
    </row>
    <row r="94" spans="1:3" x14ac:dyDescent="0.2">
      <c r="A94" s="6"/>
      <c r="B94" s="6"/>
      <c r="C94" s="8"/>
    </row>
    <row r="95" spans="1:3" x14ac:dyDescent="0.2">
      <c r="A95" s="6"/>
      <c r="B95" s="6"/>
      <c r="C95" s="8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32.72</v>
      </c>
      <c r="C98" s="8">
        <v>45</v>
      </c>
    </row>
    <row r="99" spans="1:3" x14ac:dyDescent="0.2">
      <c r="A99" s="6"/>
      <c r="B99" s="6"/>
      <c r="C99" s="8"/>
    </row>
    <row r="100" spans="1:3" x14ac:dyDescent="0.2">
      <c r="A100" s="6"/>
      <c r="B100" s="6"/>
      <c r="C100" s="8"/>
    </row>
    <row r="101" spans="1:3" x14ac:dyDescent="0.2">
      <c r="A101" s="6" t="s">
        <v>29</v>
      </c>
      <c r="B101" s="6">
        <v>37.94</v>
      </c>
      <c r="C101" s="8">
        <v>31</v>
      </c>
    </row>
    <row r="102" spans="1:3" x14ac:dyDescent="0.2">
      <c r="A102" s="6"/>
      <c r="B102" s="6"/>
      <c r="C102" s="8"/>
    </row>
    <row r="103" spans="1:3" x14ac:dyDescent="0.2">
      <c r="A103" s="6"/>
      <c r="B103" s="6"/>
      <c r="C103" s="8"/>
    </row>
    <row r="104" spans="1:3" x14ac:dyDescent="0.2">
      <c r="A104" s="6" t="s">
        <v>30</v>
      </c>
      <c r="B104" s="7">
        <v>0.86299999999999999</v>
      </c>
      <c r="C104" s="8">
        <v>83</v>
      </c>
    </row>
    <row r="105" spans="1:3" x14ac:dyDescent="0.2">
      <c r="A105" s="6"/>
      <c r="B105" s="7"/>
      <c r="C105" s="8"/>
    </row>
    <row r="106" spans="1:3" x14ac:dyDescent="0.2">
      <c r="A106" s="6"/>
      <c r="B106" s="7"/>
      <c r="C106" s="8"/>
    </row>
    <row r="107" spans="1:3" x14ac:dyDescent="0.2">
      <c r="A107" s="6" t="s">
        <v>31</v>
      </c>
      <c r="B107" s="6">
        <v>515.63</v>
      </c>
      <c r="C107" s="8">
        <v>42</v>
      </c>
    </row>
    <row r="108" spans="1:3" x14ac:dyDescent="0.2">
      <c r="A108" s="6"/>
      <c r="B108" s="6"/>
      <c r="C108" s="8"/>
    </row>
    <row r="109" spans="1:3" x14ac:dyDescent="0.2">
      <c r="A109" s="6"/>
      <c r="B109" s="6"/>
      <c r="C109" s="8"/>
    </row>
    <row r="110" spans="1:3" x14ac:dyDescent="0.2">
      <c r="A110" s="6" t="s">
        <v>32</v>
      </c>
      <c r="B110" s="6">
        <v>101.49</v>
      </c>
      <c r="C110" s="8">
        <v>19</v>
      </c>
    </row>
    <row r="111" spans="1:3" x14ac:dyDescent="0.2">
      <c r="A111" s="6"/>
      <c r="B111" s="6"/>
      <c r="C111" s="8"/>
    </row>
    <row r="112" spans="1:3" x14ac:dyDescent="0.2">
      <c r="A112" s="6"/>
      <c r="B112" s="6"/>
      <c r="C112" s="8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15.14</v>
      </c>
      <c r="C114" s="8">
        <v>38</v>
      </c>
    </row>
    <row r="115" spans="1:3" x14ac:dyDescent="0.2">
      <c r="A115" s="6"/>
      <c r="B115" s="6"/>
      <c r="C115" s="8"/>
    </row>
    <row r="116" spans="1:3" x14ac:dyDescent="0.2">
      <c r="A116" s="6"/>
      <c r="B116" s="6"/>
      <c r="C116" s="8"/>
    </row>
    <row r="117" spans="1:3" x14ac:dyDescent="0.2">
      <c r="A117" s="6" t="s">
        <v>34</v>
      </c>
      <c r="B117" s="6">
        <v>17.399999999999999</v>
      </c>
      <c r="C117" s="8">
        <v>36</v>
      </c>
    </row>
    <row r="118" spans="1:3" x14ac:dyDescent="0.2">
      <c r="A118" s="6"/>
      <c r="B118" s="6"/>
      <c r="C118" s="8"/>
    </row>
    <row r="119" spans="1:3" x14ac:dyDescent="0.2">
      <c r="A119" s="6"/>
      <c r="B119" s="6"/>
      <c r="C119" s="8"/>
    </row>
    <row r="120" spans="1:3" x14ac:dyDescent="0.2">
      <c r="A120" s="6" t="s">
        <v>35</v>
      </c>
      <c r="B120" s="7">
        <v>0.87</v>
      </c>
      <c r="C120" s="8">
        <v>48</v>
      </c>
    </row>
    <row r="121" spans="1:3" x14ac:dyDescent="0.2">
      <c r="A121" s="6"/>
      <c r="B121" s="7"/>
      <c r="C121" s="8"/>
    </row>
    <row r="122" spans="1:3" x14ac:dyDescent="0.2">
      <c r="A122" s="6"/>
      <c r="B122" s="7"/>
      <c r="C122" s="8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13.89</v>
      </c>
      <c r="C124" s="8">
        <v>53</v>
      </c>
    </row>
    <row r="125" spans="1:3" x14ac:dyDescent="0.2">
      <c r="A125" s="6"/>
      <c r="B125" s="6"/>
      <c r="C125" s="8"/>
    </row>
    <row r="126" spans="1:3" x14ac:dyDescent="0.2">
      <c r="A126" s="6"/>
      <c r="B126" s="6"/>
      <c r="C126" s="8"/>
    </row>
    <row r="127" spans="1:3" x14ac:dyDescent="0.2">
      <c r="A127" s="6" t="s">
        <v>37</v>
      </c>
      <c r="B127" s="6">
        <v>15.14</v>
      </c>
      <c r="C127" s="8">
        <v>46</v>
      </c>
    </row>
    <row r="128" spans="1:3" x14ac:dyDescent="0.2">
      <c r="A128" s="6"/>
      <c r="B128" s="6"/>
      <c r="C128" s="8"/>
    </row>
    <row r="129" spans="1:3" x14ac:dyDescent="0.2">
      <c r="A129" s="6"/>
      <c r="B129" s="6"/>
      <c r="C129" s="8"/>
    </row>
    <row r="130" spans="1:3" x14ac:dyDescent="0.2">
      <c r="A130" s="6" t="s">
        <v>38</v>
      </c>
      <c r="B130" s="7">
        <v>0.91800000000000004</v>
      </c>
      <c r="C130" s="8">
        <v>91</v>
      </c>
    </row>
    <row r="131" spans="1:3" x14ac:dyDescent="0.2">
      <c r="A131" s="6"/>
      <c r="B131" s="7"/>
      <c r="C131" s="8"/>
    </row>
    <row r="132" spans="1:3" x14ac:dyDescent="0.2">
      <c r="A132" s="6"/>
      <c r="B132" s="7"/>
      <c r="C132" s="8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2.08</v>
      </c>
      <c r="C134" s="8">
        <v>33</v>
      </c>
    </row>
    <row r="135" spans="1:3" x14ac:dyDescent="0.2">
      <c r="A135" s="6"/>
      <c r="B135" s="6"/>
      <c r="C135" s="8"/>
    </row>
    <row r="136" spans="1:3" x14ac:dyDescent="0.2">
      <c r="A136" s="6"/>
      <c r="B136" s="6"/>
      <c r="C136" s="8"/>
    </row>
    <row r="137" spans="1:3" x14ac:dyDescent="0.2">
      <c r="A137" s="6" t="s">
        <v>40</v>
      </c>
      <c r="B137" s="6">
        <v>2.63</v>
      </c>
      <c r="C137" s="8">
        <v>17</v>
      </c>
    </row>
    <row r="138" spans="1:3" x14ac:dyDescent="0.2">
      <c r="A138" s="6"/>
      <c r="B138" s="6"/>
      <c r="C138" s="8"/>
    </row>
    <row r="139" spans="1:3" x14ac:dyDescent="0.2">
      <c r="A139" s="6"/>
      <c r="B139" s="6"/>
      <c r="C139" s="8"/>
    </row>
    <row r="140" spans="1:3" x14ac:dyDescent="0.2">
      <c r="A140" s="6" t="s">
        <v>41</v>
      </c>
      <c r="B140" s="7">
        <v>0.78900000000000003</v>
      </c>
      <c r="C140" s="8">
        <v>93</v>
      </c>
    </row>
    <row r="141" spans="1:3" x14ac:dyDescent="0.2">
      <c r="A141" s="6"/>
      <c r="B141" s="7"/>
      <c r="C141" s="8"/>
    </row>
    <row r="142" spans="1:3" x14ac:dyDescent="0.2">
      <c r="A142" s="6"/>
      <c r="B142" s="7"/>
      <c r="C142" s="8"/>
    </row>
    <row r="143" spans="1:3" x14ac:dyDescent="0.2">
      <c r="A143" s="6" t="s">
        <v>4</v>
      </c>
      <c r="B143" s="9">
        <v>0.09</v>
      </c>
      <c r="C143" s="9">
        <v>58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0.05</v>
      </c>
      <c r="C146" s="9">
        <v>25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0.02</v>
      </c>
      <c r="C149" s="8">
        <v>5</v>
      </c>
    </row>
    <row r="150" spans="1:3" x14ac:dyDescent="0.2">
      <c r="A150" s="6"/>
      <c r="B150" s="6"/>
      <c r="C150" s="8"/>
    </row>
    <row r="151" spans="1:3" x14ac:dyDescent="0.2">
      <c r="A151" s="6"/>
      <c r="B151" s="6"/>
      <c r="C151" s="8"/>
    </row>
    <row r="152" spans="1:3" x14ac:dyDescent="0.2">
      <c r="A152" s="6" t="s">
        <v>43</v>
      </c>
      <c r="B152" s="6">
        <v>0.51</v>
      </c>
      <c r="C152" s="8">
        <v>13</v>
      </c>
    </row>
    <row r="153" spans="1:3" x14ac:dyDescent="0.2">
      <c r="A153" s="6"/>
      <c r="B153" s="6"/>
      <c r="C153" s="8"/>
    </row>
    <row r="154" spans="1:3" x14ac:dyDescent="0.2">
      <c r="A154" s="6"/>
      <c r="B154" s="6"/>
      <c r="C154" s="8"/>
    </row>
    <row r="155" spans="1:3" x14ac:dyDescent="0.2">
      <c r="A155" s="6" t="s">
        <v>44</v>
      </c>
      <c r="B155" s="6">
        <v>2.4</v>
      </c>
      <c r="C155" s="8">
        <v>29</v>
      </c>
    </row>
    <row r="156" spans="1:3" x14ac:dyDescent="0.2">
      <c r="A156" s="6"/>
      <c r="B156" s="6"/>
      <c r="C156" s="8"/>
    </row>
    <row r="157" spans="1:3" x14ac:dyDescent="0.2">
      <c r="A157" s="6"/>
      <c r="B157" s="6"/>
      <c r="C157" s="8"/>
    </row>
    <row r="158" spans="1:3" x14ac:dyDescent="0.2">
      <c r="A158" s="6" t="s">
        <v>45</v>
      </c>
      <c r="B158" s="6">
        <v>0.18</v>
      </c>
      <c r="C158" s="8">
        <v>4</v>
      </c>
    </row>
    <row r="159" spans="1:3" x14ac:dyDescent="0.2">
      <c r="A159" s="6"/>
      <c r="B159" s="6"/>
      <c r="C159" s="8"/>
    </row>
    <row r="160" spans="1:3" x14ac:dyDescent="0.2">
      <c r="A160" s="6"/>
      <c r="B160" s="6"/>
      <c r="C160" s="8"/>
    </row>
    <row r="161" spans="1:3" x14ac:dyDescent="0.2">
      <c r="A161" s="6" t="s">
        <v>46</v>
      </c>
      <c r="B161" s="6">
        <v>0</v>
      </c>
      <c r="C161" s="8">
        <v>9</v>
      </c>
    </row>
    <row r="162" spans="1:3" x14ac:dyDescent="0.2">
      <c r="A162" s="6"/>
      <c r="B162" s="6"/>
      <c r="C162" s="8"/>
    </row>
    <row r="163" spans="1:3" x14ac:dyDescent="0.2">
      <c r="A163" s="6"/>
      <c r="B163" s="6"/>
      <c r="C163" s="8"/>
    </row>
    <row r="164" spans="1:3" x14ac:dyDescent="0.2">
      <c r="A164" s="6" t="s">
        <v>16</v>
      </c>
      <c r="B164" s="9">
        <v>2.95</v>
      </c>
      <c r="C164" s="9">
        <v>20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37.94</v>
      </c>
      <c r="C169" s="9">
        <v>31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37.15</v>
      </c>
      <c r="C173" s="8">
        <v>34</v>
      </c>
    </row>
    <row r="174" spans="1:3" x14ac:dyDescent="0.2">
      <c r="A174" s="6"/>
      <c r="B174" s="6"/>
      <c r="C174" s="8"/>
    </row>
    <row r="175" spans="1:3" x14ac:dyDescent="0.2">
      <c r="A175" s="6"/>
      <c r="B175" s="6"/>
      <c r="C175" s="8"/>
    </row>
    <row r="176" spans="1:3" x14ac:dyDescent="0.2">
      <c r="A176" s="6" t="s">
        <v>48</v>
      </c>
      <c r="B176" s="6">
        <v>0.74</v>
      </c>
      <c r="C176" s="8">
        <v>19</v>
      </c>
    </row>
    <row r="177" spans="1:3" x14ac:dyDescent="0.2">
      <c r="A177" s="6"/>
      <c r="B177" s="6"/>
      <c r="C177" s="8"/>
    </row>
    <row r="178" spans="1:3" x14ac:dyDescent="0.2">
      <c r="A178" s="6"/>
      <c r="B178" s="6"/>
      <c r="C178" s="8"/>
    </row>
    <row r="179" spans="1:3" x14ac:dyDescent="0.2">
      <c r="A179" s="6" t="s">
        <v>49</v>
      </c>
      <c r="B179" s="6">
        <v>0.55000000000000004</v>
      </c>
      <c r="C179" s="8">
        <v>38</v>
      </c>
    </row>
    <row r="180" spans="1:3" x14ac:dyDescent="0.2">
      <c r="A180" s="6"/>
      <c r="B180" s="6"/>
      <c r="C180" s="8"/>
    </row>
    <row r="181" spans="1:3" x14ac:dyDescent="0.2">
      <c r="A181" s="6"/>
      <c r="B181" s="6"/>
      <c r="C181" s="8"/>
    </row>
    <row r="182" spans="1:3" x14ac:dyDescent="0.2">
      <c r="A182" s="6" t="s">
        <v>50</v>
      </c>
      <c r="B182" s="6">
        <v>0</v>
      </c>
      <c r="C182" s="8">
        <v>7</v>
      </c>
    </row>
    <row r="183" spans="1:3" x14ac:dyDescent="0.2">
      <c r="A183" s="6"/>
      <c r="B183" s="6"/>
      <c r="C183" s="8"/>
    </row>
    <row r="184" spans="1:3" x14ac:dyDescent="0.2">
      <c r="A184" s="6"/>
      <c r="B184" s="6"/>
      <c r="C184" s="8"/>
    </row>
    <row r="185" spans="1:3" x14ac:dyDescent="0.2">
      <c r="A185" s="6" t="s">
        <v>51</v>
      </c>
      <c r="B185" s="6">
        <v>0.05</v>
      </c>
      <c r="C185" s="8">
        <v>11</v>
      </c>
    </row>
    <row r="186" spans="1:3" x14ac:dyDescent="0.2">
      <c r="A186" s="6"/>
      <c r="B186" s="6"/>
      <c r="C186" s="8"/>
    </row>
    <row r="187" spans="1:3" x14ac:dyDescent="0.2">
      <c r="A187" s="6"/>
      <c r="B187" s="6"/>
      <c r="C187" s="8"/>
    </row>
    <row r="188" spans="1:3" x14ac:dyDescent="0.2">
      <c r="A188" s="6" t="s">
        <v>52</v>
      </c>
      <c r="B188" s="6">
        <v>0.23</v>
      </c>
      <c r="C188" s="8">
        <v>13</v>
      </c>
    </row>
    <row r="189" spans="1:3" x14ac:dyDescent="0.2">
      <c r="A189" s="6"/>
      <c r="B189" s="6"/>
      <c r="C189" s="8"/>
    </row>
    <row r="190" spans="1:3" x14ac:dyDescent="0.2">
      <c r="A190" s="6"/>
      <c r="B190" s="6"/>
      <c r="C190" s="8"/>
    </row>
    <row r="191" spans="1:3" x14ac:dyDescent="0.2">
      <c r="A191" s="6" t="s">
        <v>53</v>
      </c>
      <c r="B191" s="6">
        <v>0.18</v>
      </c>
      <c r="C191" s="8">
        <v>46</v>
      </c>
    </row>
    <row r="192" spans="1:3" x14ac:dyDescent="0.2">
      <c r="A192" s="6"/>
      <c r="B192" s="6"/>
      <c r="C192" s="8"/>
    </row>
    <row r="193" spans="1:3" x14ac:dyDescent="0.2">
      <c r="A193" s="6"/>
      <c r="B193" s="6"/>
      <c r="C193" s="8"/>
    </row>
    <row r="194" spans="1:3" x14ac:dyDescent="0.2">
      <c r="A194" s="6" t="s">
        <v>54</v>
      </c>
      <c r="B194" s="6">
        <v>0</v>
      </c>
      <c r="C194" s="8">
        <v>22</v>
      </c>
    </row>
    <row r="195" spans="1:3" x14ac:dyDescent="0.2">
      <c r="A195" s="6"/>
      <c r="B195" s="6"/>
      <c r="C195" s="8"/>
    </row>
    <row r="196" spans="1:3" x14ac:dyDescent="0.2">
      <c r="A196" s="6"/>
      <c r="B196" s="6"/>
      <c r="C196" s="8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8">
        <v>28</v>
      </c>
    </row>
    <row r="199" spans="1:3" x14ac:dyDescent="0.2">
      <c r="A199" s="6"/>
      <c r="B199" s="6"/>
      <c r="C199" s="8"/>
    </row>
    <row r="200" spans="1:3" x14ac:dyDescent="0.2">
      <c r="A200" s="6"/>
      <c r="B200" s="6"/>
      <c r="C200" s="8"/>
    </row>
    <row r="201" spans="1:3" x14ac:dyDescent="0.2">
      <c r="A201" s="6" t="s">
        <v>56</v>
      </c>
      <c r="B201" s="6">
        <v>0</v>
      </c>
      <c r="C201" s="8">
        <v>28</v>
      </c>
    </row>
    <row r="202" spans="1:3" x14ac:dyDescent="0.2">
      <c r="A202" s="6"/>
      <c r="B202" s="6"/>
      <c r="C202" s="8"/>
    </row>
    <row r="203" spans="1:3" x14ac:dyDescent="0.2">
      <c r="A203" s="6"/>
      <c r="B203" s="6"/>
      <c r="C203" s="8"/>
    </row>
    <row r="204" spans="1:3" x14ac:dyDescent="0.2">
      <c r="A204" s="6" t="s">
        <v>57</v>
      </c>
      <c r="B204" s="6">
        <v>0</v>
      </c>
      <c r="C204" s="8">
        <v>43</v>
      </c>
    </row>
    <row r="205" spans="1:3" x14ac:dyDescent="0.2">
      <c r="A205" s="6"/>
      <c r="B205" s="6"/>
      <c r="C205" s="8"/>
    </row>
    <row r="206" spans="1:3" x14ac:dyDescent="0.2">
      <c r="A206" s="6"/>
      <c r="B206" s="6"/>
      <c r="C206" s="8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32.72</v>
      </c>
      <c r="C208" s="9">
        <v>45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0.05</v>
      </c>
      <c r="C211" s="8">
        <v>82</v>
      </c>
    </row>
    <row r="212" spans="1:3" x14ac:dyDescent="0.2">
      <c r="A212" s="6"/>
      <c r="B212" s="6"/>
      <c r="C212" s="8"/>
    </row>
    <row r="213" spans="1:3" x14ac:dyDescent="0.2">
      <c r="A213" s="6"/>
      <c r="B213" s="6"/>
      <c r="C213" s="8"/>
    </row>
    <row r="214" spans="1:3" x14ac:dyDescent="0.2">
      <c r="A214" s="6" t="s">
        <v>59</v>
      </c>
      <c r="B214" s="6">
        <v>0.51</v>
      </c>
      <c r="C214" s="8">
        <v>88</v>
      </c>
    </row>
    <row r="215" spans="1:3" x14ac:dyDescent="0.2">
      <c r="A215" s="6"/>
      <c r="B215" s="6"/>
      <c r="C215" s="8"/>
    </row>
    <row r="216" spans="1:3" x14ac:dyDescent="0.2">
      <c r="A216" s="6"/>
      <c r="B216" s="6"/>
      <c r="C216" s="8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1.25</v>
      </c>
      <c r="C219" s="8">
        <v>7</v>
      </c>
    </row>
    <row r="220" spans="1:3" x14ac:dyDescent="0.2">
      <c r="A220" s="6"/>
      <c r="B220" s="6"/>
      <c r="C220" s="8"/>
    </row>
    <row r="221" spans="1:3" x14ac:dyDescent="0.2">
      <c r="A221" s="6"/>
      <c r="B221" s="6"/>
      <c r="C221" s="8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1.1499999999999999</v>
      </c>
      <c r="C223" s="8">
        <v>14</v>
      </c>
    </row>
    <row r="224" spans="1:3" x14ac:dyDescent="0.2">
      <c r="A224" s="6"/>
      <c r="B224" s="6"/>
      <c r="C224" s="8"/>
    </row>
    <row r="225" spans="1:3" x14ac:dyDescent="0.2">
      <c r="A225" s="6"/>
      <c r="B225" s="6"/>
      <c r="C225" s="8"/>
    </row>
    <row r="226" spans="1:3" x14ac:dyDescent="0.2">
      <c r="A226" s="6" t="s">
        <v>62</v>
      </c>
      <c r="B226" s="6">
        <v>0</v>
      </c>
      <c r="C226" s="8">
        <v>23</v>
      </c>
    </row>
    <row r="227" spans="1:3" x14ac:dyDescent="0.2">
      <c r="A227" s="6"/>
      <c r="B227" s="6"/>
      <c r="C227" s="8"/>
    </row>
    <row r="228" spans="1:3" x14ac:dyDescent="0.2">
      <c r="A228" s="6"/>
      <c r="B228" s="6"/>
      <c r="C228" s="8"/>
    </row>
    <row r="229" spans="1:3" x14ac:dyDescent="0.2">
      <c r="A229" s="6" t="s">
        <v>63</v>
      </c>
      <c r="B229" s="6">
        <v>0</v>
      </c>
      <c r="C229" s="8">
        <v>13</v>
      </c>
    </row>
    <row r="230" spans="1:3" x14ac:dyDescent="0.2">
      <c r="A230" s="6"/>
      <c r="B230" s="6"/>
      <c r="C230" s="8"/>
    </row>
    <row r="231" spans="1:3" x14ac:dyDescent="0.2">
      <c r="A231" s="6"/>
      <c r="B231" s="6"/>
      <c r="C231" s="8"/>
    </row>
    <row r="232" spans="1:3" x14ac:dyDescent="0.2">
      <c r="A232" s="6" t="s">
        <v>64</v>
      </c>
      <c r="B232" s="6">
        <v>0.05</v>
      </c>
      <c r="C232" s="8">
        <v>21</v>
      </c>
    </row>
    <row r="233" spans="1:3" x14ac:dyDescent="0.2">
      <c r="A233" s="6"/>
      <c r="B233" s="6"/>
      <c r="C233" s="8"/>
    </row>
    <row r="234" spans="1:3" x14ac:dyDescent="0.2">
      <c r="A234" s="6"/>
      <c r="B234" s="6"/>
      <c r="C234" s="8"/>
    </row>
    <row r="235" spans="1:3" x14ac:dyDescent="0.2">
      <c r="A235" s="6" t="s">
        <v>65</v>
      </c>
      <c r="B235" s="6">
        <v>0</v>
      </c>
      <c r="C235" s="8">
        <v>11</v>
      </c>
    </row>
    <row r="236" spans="1:3" x14ac:dyDescent="0.2">
      <c r="A236" s="6"/>
      <c r="B236" s="6"/>
      <c r="C236" s="8"/>
    </row>
    <row r="237" spans="1:3" x14ac:dyDescent="0.2">
      <c r="A237" s="6"/>
      <c r="B237" s="6"/>
      <c r="C237" s="8"/>
    </row>
    <row r="238" spans="1:3" x14ac:dyDescent="0.2">
      <c r="A238" s="6" t="s">
        <v>66</v>
      </c>
      <c r="B238" s="6">
        <v>0.05</v>
      </c>
      <c r="C238" s="8">
        <v>58</v>
      </c>
    </row>
    <row r="239" spans="1:3" x14ac:dyDescent="0.2">
      <c r="A239" s="6"/>
      <c r="B239" s="6"/>
      <c r="C239" s="8"/>
    </row>
    <row r="240" spans="1:3" x14ac:dyDescent="0.2">
      <c r="A240" s="6"/>
      <c r="B240" s="6"/>
      <c r="C240" s="8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0.32</v>
      </c>
      <c r="C242" s="8">
        <v>73</v>
      </c>
    </row>
    <row r="243" spans="1:3" x14ac:dyDescent="0.2">
      <c r="A243" s="6"/>
      <c r="B243" s="6"/>
      <c r="C243" s="8"/>
    </row>
    <row r="244" spans="1:3" x14ac:dyDescent="0.2">
      <c r="A244" s="6"/>
      <c r="B244" s="6"/>
      <c r="C244" s="8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0.23</v>
      </c>
      <c r="C246" s="8">
        <v>70</v>
      </c>
    </row>
    <row r="247" spans="1:3" x14ac:dyDescent="0.2">
      <c r="A247" s="6"/>
      <c r="B247" s="6"/>
      <c r="C247" s="8"/>
    </row>
    <row r="248" spans="1:3" x14ac:dyDescent="0.2">
      <c r="A248" s="6"/>
      <c r="B248" s="6"/>
      <c r="C248" s="8"/>
    </row>
    <row r="249" spans="1:3" x14ac:dyDescent="0.2">
      <c r="A249" s="6" t="s">
        <v>69</v>
      </c>
      <c r="B249" s="6">
        <v>0</v>
      </c>
      <c r="C249" s="8">
        <v>37</v>
      </c>
    </row>
    <row r="250" spans="1:3" x14ac:dyDescent="0.2">
      <c r="A250" s="6"/>
      <c r="B250" s="6"/>
      <c r="C250" s="8"/>
    </row>
    <row r="251" spans="1:3" x14ac:dyDescent="0.2">
      <c r="A251" s="6"/>
      <c r="B251" s="6"/>
      <c r="C251" s="8"/>
    </row>
    <row r="252" spans="1:3" x14ac:dyDescent="0.2">
      <c r="A252" s="6" t="s">
        <v>70</v>
      </c>
      <c r="B252" s="6">
        <v>0</v>
      </c>
      <c r="C252" s="8">
        <v>40</v>
      </c>
    </row>
    <row r="253" spans="1:3" x14ac:dyDescent="0.2">
      <c r="A253" s="6"/>
      <c r="B253" s="6"/>
      <c r="C253" s="8"/>
    </row>
    <row r="254" spans="1:3" x14ac:dyDescent="0.2">
      <c r="A254" s="6"/>
      <c r="B254" s="6"/>
      <c r="C254" s="8"/>
    </row>
    <row r="255" spans="1:3" x14ac:dyDescent="0.2">
      <c r="A255" s="6" t="s">
        <v>71</v>
      </c>
      <c r="B255" s="6">
        <v>0.05</v>
      </c>
      <c r="C255" s="8">
        <v>83</v>
      </c>
    </row>
    <row r="256" spans="1:3" x14ac:dyDescent="0.2">
      <c r="A256" s="6"/>
      <c r="B256" s="6"/>
      <c r="C256" s="8"/>
    </row>
    <row r="257" spans="1:3" x14ac:dyDescent="0.2">
      <c r="A257" s="6"/>
      <c r="B257" s="6"/>
      <c r="C257" s="8"/>
    </row>
    <row r="258" spans="1:3" x14ac:dyDescent="0.2">
      <c r="A258" s="6" t="s">
        <v>72</v>
      </c>
      <c r="B258" s="6">
        <v>0</v>
      </c>
      <c r="C258" s="8">
        <v>41</v>
      </c>
    </row>
    <row r="259" spans="1:3" x14ac:dyDescent="0.2">
      <c r="A259" s="6"/>
      <c r="B259" s="6"/>
      <c r="C259" s="8"/>
    </row>
    <row r="260" spans="1:3" x14ac:dyDescent="0.2">
      <c r="A260" s="6"/>
      <c r="B260" s="6"/>
      <c r="C260" s="8"/>
    </row>
    <row r="261" spans="1:3" x14ac:dyDescent="0.2">
      <c r="A261" s="6" t="s">
        <v>73</v>
      </c>
      <c r="B261" s="6">
        <v>0.05</v>
      </c>
      <c r="C261" s="8">
        <v>97</v>
      </c>
    </row>
    <row r="262" spans="1:3" x14ac:dyDescent="0.2">
      <c r="A262" s="6"/>
      <c r="B262" s="6"/>
      <c r="C262" s="8"/>
    </row>
    <row r="263" spans="1:3" x14ac:dyDescent="0.2">
      <c r="A263" s="6"/>
      <c r="B263" s="6"/>
      <c r="C263" s="8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1.94</v>
      </c>
      <c r="C266" s="8">
        <v>44</v>
      </c>
    </row>
    <row r="267" spans="1:3" x14ac:dyDescent="0.2">
      <c r="A267" s="6"/>
      <c r="B267" s="6"/>
      <c r="C267" s="8"/>
    </row>
    <row r="268" spans="1:3" x14ac:dyDescent="0.2">
      <c r="A268" s="6"/>
      <c r="B268" s="6"/>
      <c r="C268" s="8"/>
    </row>
    <row r="269" spans="1:3" x14ac:dyDescent="0.2">
      <c r="A269" s="6" t="s">
        <v>75</v>
      </c>
      <c r="B269" s="6">
        <v>0.78</v>
      </c>
      <c r="C269" s="8">
        <v>27</v>
      </c>
    </row>
    <row r="270" spans="1:3" x14ac:dyDescent="0.2">
      <c r="A270" s="6"/>
      <c r="B270" s="6"/>
      <c r="C270" s="8"/>
    </row>
    <row r="271" spans="1:3" x14ac:dyDescent="0.2">
      <c r="A271" s="6"/>
      <c r="B271" s="6"/>
      <c r="C271" s="8"/>
    </row>
    <row r="272" spans="1:3" x14ac:dyDescent="0.2">
      <c r="A272" s="6" t="s">
        <v>76</v>
      </c>
      <c r="B272" s="6">
        <v>1.1499999999999999</v>
      </c>
      <c r="C272" s="8">
        <v>77</v>
      </c>
    </row>
    <row r="273" spans="1:3" x14ac:dyDescent="0.2">
      <c r="A273" s="6"/>
      <c r="B273" s="6"/>
      <c r="C273" s="8"/>
    </row>
    <row r="274" spans="1:3" x14ac:dyDescent="0.2">
      <c r="A274" s="6"/>
      <c r="B274" s="6"/>
      <c r="C274" s="8"/>
    </row>
    <row r="275" spans="1:3" x14ac:dyDescent="0.2">
      <c r="A275" s="6" t="s">
        <v>77</v>
      </c>
      <c r="B275" s="6">
        <v>0.65</v>
      </c>
      <c r="C275" s="8">
        <v>29</v>
      </c>
    </row>
    <row r="276" spans="1:3" x14ac:dyDescent="0.2">
      <c r="A276" s="6"/>
      <c r="B276" s="6"/>
      <c r="C276" s="8"/>
    </row>
    <row r="277" spans="1:3" x14ac:dyDescent="0.2">
      <c r="A277" s="6"/>
      <c r="B277" s="6"/>
      <c r="C277" s="8"/>
    </row>
    <row r="278" spans="1:3" x14ac:dyDescent="0.2">
      <c r="A278" s="6" t="s">
        <v>78</v>
      </c>
      <c r="B278" s="6">
        <v>0.14000000000000001</v>
      </c>
      <c r="C278" s="8">
        <v>29</v>
      </c>
    </row>
    <row r="279" spans="1:3" x14ac:dyDescent="0.2">
      <c r="A279" s="6"/>
      <c r="B279" s="6"/>
      <c r="C279" s="8"/>
    </row>
    <row r="280" spans="1:3" x14ac:dyDescent="0.2">
      <c r="A280" s="6"/>
      <c r="B280" s="6"/>
      <c r="C280" s="8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1.02</v>
      </c>
      <c r="C282" s="8">
        <v>67</v>
      </c>
    </row>
    <row r="283" spans="1:3" x14ac:dyDescent="0.2">
      <c r="A283" s="6"/>
      <c r="B283" s="6"/>
      <c r="C283" s="8"/>
    </row>
    <row r="284" spans="1:3" x14ac:dyDescent="0.2">
      <c r="A284" s="6"/>
      <c r="B284" s="6"/>
      <c r="C284" s="8"/>
    </row>
    <row r="285" spans="1:3" x14ac:dyDescent="0.2">
      <c r="A285" s="6" t="s">
        <v>80</v>
      </c>
      <c r="B285" s="6">
        <v>2.31</v>
      </c>
      <c r="C285" s="8">
        <v>61</v>
      </c>
    </row>
    <row r="286" spans="1:3" x14ac:dyDescent="0.2">
      <c r="A286" s="6"/>
      <c r="B286" s="6"/>
      <c r="C286" s="8"/>
    </row>
    <row r="287" spans="1:3" x14ac:dyDescent="0.2">
      <c r="A287" s="6"/>
      <c r="B287" s="6"/>
      <c r="C287" s="8"/>
    </row>
    <row r="288" spans="1:3" x14ac:dyDescent="0.2">
      <c r="A288" s="6" t="s">
        <v>81</v>
      </c>
      <c r="B288" s="7">
        <v>0.44</v>
      </c>
      <c r="C288" s="8">
        <v>67</v>
      </c>
    </row>
    <row r="289" spans="1:3" x14ac:dyDescent="0.2">
      <c r="A289" s="6"/>
      <c r="B289" s="7"/>
      <c r="C289" s="8"/>
    </row>
    <row r="290" spans="1:3" x14ac:dyDescent="0.2">
      <c r="A290" s="6"/>
      <c r="B290" s="7"/>
      <c r="C290" s="8"/>
    </row>
    <row r="291" spans="1:3" x14ac:dyDescent="0.2">
      <c r="A291" s="6" t="s">
        <v>82</v>
      </c>
      <c r="B291" s="6">
        <v>1.29</v>
      </c>
      <c r="C291" s="8">
        <v>44</v>
      </c>
    </row>
    <row r="292" spans="1:3" x14ac:dyDescent="0.2">
      <c r="A292" s="6"/>
      <c r="B292" s="6"/>
      <c r="C292" s="8"/>
    </row>
    <row r="293" spans="1:3" x14ac:dyDescent="0.2">
      <c r="A293" s="6"/>
      <c r="B293" s="6"/>
      <c r="C293" s="8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1.71</v>
      </c>
      <c r="C295" s="8">
        <v>83</v>
      </c>
    </row>
    <row r="296" spans="1:3" x14ac:dyDescent="0.2">
      <c r="A296" s="6"/>
      <c r="B296" s="6"/>
      <c r="C296" s="8"/>
    </row>
    <row r="297" spans="1:3" x14ac:dyDescent="0.2">
      <c r="A297" s="6"/>
      <c r="B297" s="6"/>
      <c r="C297" s="8"/>
    </row>
    <row r="298" spans="1:3" x14ac:dyDescent="0.2">
      <c r="A298" s="6" t="s">
        <v>84</v>
      </c>
      <c r="B298" s="6">
        <v>0.46</v>
      </c>
      <c r="C298" s="8">
        <v>86</v>
      </c>
    </row>
    <row r="299" spans="1:3" x14ac:dyDescent="0.2">
      <c r="A299" s="6"/>
      <c r="B299" s="6"/>
      <c r="C299" s="8"/>
    </row>
    <row r="300" spans="1:3" x14ac:dyDescent="0.2">
      <c r="A300" s="6"/>
      <c r="B300" s="6"/>
      <c r="C300" s="8"/>
    </row>
    <row r="301" spans="1:3" x14ac:dyDescent="0.2">
      <c r="A301" s="6" t="s">
        <v>59</v>
      </c>
      <c r="B301" s="6">
        <v>1.25</v>
      </c>
      <c r="C301" s="8">
        <v>76</v>
      </c>
    </row>
    <row r="302" spans="1:3" x14ac:dyDescent="0.2">
      <c r="A302" s="6"/>
      <c r="B302" s="6"/>
      <c r="C302" s="8"/>
    </row>
    <row r="303" spans="1:3" x14ac:dyDescent="0.2">
      <c r="A303" s="6"/>
      <c r="B303" s="6"/>
      <c r="C303" s="8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0.42</v>
      </c>
      <c r="C305" s="8">
        <v>7</v>
      </c>
    </row>
    <row r="306" spans="1:3" x14ac:dyDescent="0.2">
      <c r="A306" s="6"/>
      <c r="B306" s="6"/>
      <c r="C306" s="8"/>
    </row>
    <row r="307" spans="1:3" x14ac:dyDescent="0.2">
      <c r="A307" s="6"/>
      <c r="B307" s="6"/>
      <c r="C307" s="8"/>
    </row>
    <row r="308" spans="1:3" x14ac:dyDescent="0.2">
      <c r="A308" s="6" t="s">
        <v>86</v>
      </c>
      <c r="B308" s="6">
        <v>2.35</v>
      </c>
      <c r="C308" s="8">
        <v>27</v>
      </c>
    </row>
    <row r="309" spans="1:3" x14ac:dyDescent="0.2">
      <c r="A309" s="6"/>
      <c r="B309" s="6"/>
      <c r="C309" s="8"/>
    </row>
    <row r="310" spans="1:3" x14ac:dyDescent="0.2">
      <c r="A310" s="6"/>
      <c r="B310" s="6"/>
      <c r="C310" s="8"/>
    </row>
    <row r="311" spans="1:3" x14ac:dyDescent="0.2">
      <c r="A311" s="6" t="s">
        <v>87</v>
      </c>
      <c r="B311" s="6">
        <v>1.75</v>
      </c>
      <c r="C311" s="8">
        <v>83</v>
      </c>
    </row>
    <row r="312" spans="1:3" x14ac:dyDescent="0.2">
      <c r="A312" s="6"/>
      <c r="B312" s="6"/>
      <c r="C312" s="8"/>
    </row>
    <row r="313" spans="1:3" x14ac:dyDescent="0.2">
      <c r="A313" s="6"/>
      <c r="B313" s="6"/>
      <c r="C313" s="8"/>
    </row>
    <row r="314" spans="1:3" x14ac:dyDescent="0.2">
      <c r="A314" s="6" t="s">
        <v>88</v>
      </c>
      <c r="B314" s="6">
        <v>0.05</v>
      </c>
      <c r="C314" s="8">
        <v>25</v>
      </c>
    </row>
    <row r="315" spans="1:3" x14ac:dyDescent="0.2">
      <c r="A315" s="6"/>
      <c r="B315" s="6"/>
      <c r="C315" s="8"/>
    </row>
    <row r="316" spans="1:3" x14ac:dyDescent="0.2">
      <c r="A316" s="6"/>
      <c r="B316" s="6"/>
      <c r="C316" s="8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47.26</v>
      </c>
      <c r="C319" s="8">
        <v>23</v>
      </c>
    </row>
    <row r="320" spans="1:3" x14ac:dyDescent="0.2">
      <c r="A320" s="6"/>
      <c r="B320" s="6"/>
      <c r="C320" s="8"/>
    </row>
    <row r="321" spans="1:3" x14ac:dyDescent="0.2">
      <c r="A321" s="6"/>
      <c r="B321" s="6"/>
      <c r="C321" s="8"/>
    </row>
    <row r="322" spans="1:3" x14ac:dyDescent="0.2">
      <c r="A322" s="6" t="s">
        <v>90</v>
      </c>
      <c r="B322" s="6">
        <v>2.72</v>
      </c>
      <c r="C322" s="8">
        <v>71</v>
      </c>
    </row>
    <row r="323" spans="1:3" x14ac:dyDescent="0.2">
      <c r="A323" s="6"/>
      <c r="B323" s="6"/>
      <c r="C323" s="8"/>
    </row>
    <row r="324" spans="1:3" x14ac:dyDescent="0.2">
      <c r="A324" s="6"/>
      <c r="B324" s="6"/>
      <c r="C324" s="8"/>
    </row>
    <row r="325" spans="1:3" x14ac:dyDescent="0.2">
      <c r="A325" s="6" t="s">
        <v>91</v>
      </c>
      <c r="B325" s="6">
        <v>13.02</v>
      </c>
      <c r="C325" s="8">
        <v>55</v>
      </c>
    </row>
    <row r="326" spans="1:3" x14ac:dyDescent="0.2">
      <c r="A326" s="6"/>
      <c r="B326" s="6"/>
      <c r="C326" s="8"/>
    </row>
    <row r="327" spans="1:3" x14ac:dyDescent="0.2">
      <c r="A327" s="6"/>
      <c r="B327" s="6"/>
      <c r="C327" s="8"/>
    </row>
    <row r="328" spans="1:3" x14ac:dyDescent="0.2">
      <c r="A328" s="6" t="s">
        <v>92</v>
      </c>
      <c r="B328" s="6">
        <v>25.02</v>
      </c>
      <c r="C328" s="8">
        <v>33</v>
      </c>
    </row>
    <row r="329" spans="1:3" x14ac:dyDescent="0.2">
      <c r="A329" s="6"/>
      <c r="B329" s="6"/>
      <c r="C329" s="8"/>
    </row>
    <row r="330" spans="1:3" x14ac:dyDescent="0.2">
      <c r="A330" s="6"/>
      <c r="B330" s="6"/>
      <c r="C330" s="8"/>
    </row>
    <row r="331" spans="1:3" x14ac:dyDescent="0.2">
      <c r="A331" s="6" t="s">
        <v>93</v>
      </c>
      <c r="B331" s="6">
        <v>9.3699999999999992</v>
      </c>
      <c r="C331" s="8">
        <v>14</v>
      </c>
    </row>
    <row r="332" spans="1:3" x14ac:dyDescent="0.2">
      <c r="A332" s="6"/>
      <c r="B332" s="6"/>
      <c r="C332" s="8"/>
    </row>
    <row r="333" spans="1:3" x14ac:dyDescent="0.2">
      <c r="A333" s="6"/>
      <c r="B333" s="6"/>
      <c r="C333" s="8"/>
    </row>
    <row r="334" spans="1:3" x14ac:dyDescent="0.2">
      <c r="A334" s="6" t="s">
        <v>94</v>
      </c>
      <c r="B334" s="6">
        <v>1.52</v>
      </c>
      <c r="C334" s="8">
        <v>50</v>
      </c>
    </row>
    <row r="335" spans="1:3" x14ac:dyDescent="0.2">
      <c r="A335" s="6"/>
      <c r="B335" s="6"/>
      <c r="C335" s="8"/>
    </row>
    <row r="336" spans="1:3" x14ac:dyDescent="0.2">
      <c r="A336" s="6"/>
      <c r="B336" s="6"/>
      <c r="C336" s="8"/>
    </row>
    <row r="337" spans="1:3" x14ac:dyDescent="0.2">
      <c r="A337" s="6" t="s">
        <v>95</v>
      </c>
      <c r="B337" s="6">
        <v>47.26</v>
      </c>
      <c r="C337" s="8">
        <v>23</v>
      </c>
    </row>
    <row r="338" spans="1:3" x14ac:dyDescent="0.2">
      <c r="A338" s="6"/>
      <c r="B338" s="6"/>
      <c r="C338" s="8"/>
    </row>
    <row r="339" spans="1:3" x14ac:dyDescent="0.2">
      <c r="A339" s="6"/>
      <c r="B339" s="6"/>
      <c r="C339" s="8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0.46</v>
      </c>
      <c r="C341" s="8">
        <v>6</v>
      </c>
    </row>
    <row r="342" spans="1:3" x14ac:dyDescent="0.2">
      <c r="A342" s="6"/>
      <c r="B342" s="6"/>
      <c r="C342" s="8"/>
    </row>
    <row r="343" spans="1:3" x14ac:dyDescent="0.2">
      <c r="A343" s="6"/>
      <c r="B343" s="6"/>
      <c r="C343" s="8"/>
    </row>
    <row r="344" spans="1:3" x14ac:dyDescent="0.2">
      <c r="A344" s="6" t="s">
        <v>97</v>
      </c>
      <c r="B344" s="6">
        <v>0.23</v>
      </c>
      <c r="C344" s="8">
        <v>3</v>
      </c>
    </row>
    <row r="345" spans="1:3" x14ac:dyDescent="0.2">
      <c r="A345" s="6"/>
      <c r="B345" s="6"/>
      <c r="C345" s="8"/>
    </row>
    <row r="346" spans="1:3" x14ac:dyDescent="0.2">
      <c r="A346" s="6"/>
      <c r="B346" s="6"/>
      <c r="C346" s="8"/>
    </row>
    <row r="347" spans="1:3" x14ac:dyDescent="0.2">
      <c r="A347" s="6" t="s">
        <v>98</v>
      </c>
      <c r="B347" s="7">
        <v>0.5</v>
      </c>
      <c r="C347" s="8">
        <v>18</v>
      </c>
    </row>
    <row r="348" spans="1:3" x14ac:dyDescent="0.2">
      <c r="A348" s="6"/>
      <c r="B348" s="7"/>
      <c r="C348" s="8"/>
    </row>
    <row r="349" spans="1:3" x14ac:dyDescent="0.2">
      <c r="A349" s="6"/>
      <c r="B349" s="7"/>
      <c r="C349" s="8"/>
    </row>
    <row r="350" spans="1:3" x14ac:dyDescent="0.2">
      <c r="A350" s="6" t="s">
        <v>99</v>
      </c>
      <c r="B350" s="6">
        <v>0.23</v>
      </c>
      <c r="C350" s="8">
        <v>85</v>
      </c>
    </row>
    <row r="351" spans="1:3" x14ac:dyDescent="0.2">
      <c r="A351" s="6"/>
      <c r="B351" s="6"/>
      <c r="C351" s="8"/>
    </row>
    <row r="352" spans="1:3" x14ac:dyDescent="0.2">
      <c r="A352" s="6"/>
      <c r="B352" s="6"/>
      <c r="C352" s="8"/>
    </row>
    <row r="353" spans="1:3" x14ac:dyDescent="0.2">
      <c r="A353" s="6" t="s">
        <v>100</v>
      </c>
      <c r="B353" s="7">
        <v>0.5</v>
      </c>
      <c r="C353" s="8">
        <v>18</v>
      </c>
    </row>
    <row r="354" spans="1:3" x14ac:dyDescent="0.2">
      <c r="A354" s="6"/>
      <c r="B354" s="7"/>
      <c r="C354" s="8"/>
    </row>
    <row r="355" spans="1:3" x14ac:dyDescent="0.2">
      <c r="A355" s="6"/>
      <c r="B355" s="7"/>
      <c r="C355" s="8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21.28</v>
      </c>
      <c r="C357" s="8">
        <v>9</v>
      </c>
    </row>
    <row r="358" spans="1:3" x14ac:dyDescent="0.2">
      <c r="A358" s="6"/>
      <c r="B358" s="6"/>
      <c r="C358" s="8"/>
    </row>
    <row r="359" spans="1:3" x14ac:dyDescent="0.2">
      <c r="A359" s="6"/>
      <c r="B359" s="6"/>
      <c r="C359" s="8"/>
    </row>
    <row r="360" spans="1:3" x14ac:dyDescent="0.2">
      <c r="A360" s="6" t="s">
        <v>102</v>
      </c>
      <c r="B360" s="6">
        <v>85.98</v>
      </c>
      <c r="C360" s="8">
        <v>5</v>
      </c>
    </row>
    <row r="361" spans="1:3" x14ac:dyDescent="0.2">
      <c r="A361" s="6"/>
      <c r="B361" s="6"/>
      <c r="C361" s="8"/>
    </row>
    <row r="362" spans="1:3" x14ac:dyDescent="0.2">
      <c r="A362" s="6"/>
      <c r="B362" s="6"/>
      <c r="C362" s="8"/>
    </row>
    <row r="363" spans="1:3" x14ac:dyDescent="0.2">
      <c r="A363" s="6" t="s">
        <v>103</v>
      </c>
      <c r="B363" s="6">
        <v>33.32</v>
      </c>
      <c r="C363" s="8">
        <v>4</v>
      </c>
    </row>
    <row r="364" spans="1:3" x14ac:dyDescent="0.2">
      <c r="A364" s="6"/>
      <c r="B364" s="6"/>
      <c r="C364" s="8"/>
    </row>
    <row r="365" spans="1:3" x14ac:dyDescent="0.2">
      <c r="A365" s="6"/>
      <c r="B365" s="6"/>
      <c r="C365" s="8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0.42</v>
      </c>
      <c r="C367" s="9">
        <v>6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0.65</v>
      </c>
      <c r="C370" s="8">
        <v>13</v>
      </c>
    </row>
    <row r="371" spans="1:3" x14ac:dyDescent="0.2">
      <c r="A371" s="6"/>
      <c r="B371" s="6"/>
      <c r="C371" s="8"/>
    </row>
    <row r="372" spans="1:3" x14ac:dyDescent="0.2">
      <c r="A372" s="6"/>
      <c r="B372" s="6"/>
      <c r="C372" s="8"/>
    </row>
    <row r="373" spans="1:3" x14ac:dyDescent="0.2">
      <c r="A373" s="6" t="s">
        <v>105</v>
      </c>
      <c r="B373" s="6">
        <v>0</v>
      </c>
      <c r="C373" s="8">
        <v>5</v>
      </c>
    </row>
    <row r="374" spans="1:3" x14ac:dyDescent="0.2">
      <c r="A374" s="6"/>
      <c r="B374" s="6"/>
      <c r="C374" s="8"/>
    </row>
    <row r="375" spans="1:3" x14ac:dyDescent="0.2">
      <c r="A375" s="6"/>
      <c r="B375" s="6"/>
      <c r="C375" s="8"/>
    </row>
    <row r="376" spans="1:3" x14ac:dyDescent="0.2">
      <c r="A376" s="6" t="s">
        <v>106</v>
      </c>
      <c r="B376" s="6">
        <v>1.1499999999999999</v>
      </c>
      <c r="C376" s="8">
        <v>76</v>
      </c>
    </row>
    <row r="377" spans="1:3" x14ac:dyDescent="0.2">
      <c r="A377" s="6"/>
      <c r="B377" s="6"/>
      <c r="C377" s="8"/>
    </row>
    <row r="378" spans="1:3" x14ac:dyDescent="0.2">
      <c r="A378" s="6"/>
      <c r="B378" s="6"/>
      <c r="C378" s="8"/>
    </row>
    <row r="379" spans="1:3" x14ac:dyDescent="0.2">
      <c r="A379" s="6" t="s">
        <v>107</v>
      </c>
      <c r="B379" s="6">
        <v>0.42</v>
      </c>
      <c r="C379" s="8">
        <v>95</v>
      </c>
    </row>
    <row r="380" spans="1:3" x14ac:dyDescent="0.2">
      <c r="A380" s="6"/>
      <c r="B380" s="6"/>
      <c r="C380" s="8"/>
    </row>
    <row r="381" spans="1:3" x14ac:dyDescent="0.2">
      <c r="A381" s="6"/>
      <c r="B381" s="6"/>
      <c r="C381" s="8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30.05</v>
      </c>
      <c r="C383" s="8">
        <v>33</v>
      </c>
    </row>
    <row r="384" spans="1:3" x14ac:dyDescent="0.2">
      <c r="A384" s="6"/>
      <c r="B384" s="6"/>
      <c r="C384" s="8"/>
    </row>
    <row r="385" spans="1:3" x14ac:dyDescent="0.2">
      <c r="A385" s="6"/>
      <c r="B385" s="6"/>
      <c r="C385" s="8"/>
    </row>
    <row r="386" spans="1:3" x14ac:dyDescent="0.2">
      <c r="A386" s="6" t="s">
        <v>17</v>
      </c>
      <c r="B386" s="9">
        <v>2.08</v>
      </c>
      <c r="C386" s="9">
        <v>45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0.18</v>
      </c>
      <c r="C391" s="9">
        <v>51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54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8">
        <v>52</v>
      </c>
    </row>
    <row r="398" spans="1:3" x14ac:dyDescent="0.2">
      <c r="A398" s="6"/>
      <c r="B398" s="6"/>
      <c r="C398" s="8"/>
    </row>
    <row r="399" spans="1:3" x14ac:dyDescent="0.2">
      <c r="A399" s="6"/>
      <c r="B399" s="6"/>
      <c r="C399" s="8"/>
    </row>
    <row r="400" spans="1:3" x14ac:dyDescent="0.2">
      <c r="A400" s="6" t="s">
        <v>110</v>
      </c>
      <c r="B400" s="6">
        <v>0.6</v>
      </c>
      <c r="C400" s="8">
        <v>93</v>
      </c>
    </row>
    <row r="401" spans="1:3" x14ac:dyDescent="0.2">
      <c r="A401" s="6"/>
      <c r="B401" s="6"/>
      <c r="C401" s="8"/>
    </row>
    <row r="402" spans="1:3" x14ac:dyDescent="0.2">
      <c r="A402" s="6"/>
      <c r="B402" s="6"/>
      <c r="C402" s="8"/>
    </row>
    <row r="403" spans="1:3" x14ac:dyDescent="0.2">
      <c r="A403" s="6" t="s">
        <v>111</v>
      </c>
      <c r="B403" s="6">
        <v>0.28000000000000003</v>
      </c>
      <c r="C403" s="8">
        <v>4</v>
      </c>
    </row>
    <row r="404" spans="1:3" x14ac:dyDescent="0.2">
      <c r="A404" s="6"/>
      <c r="B404" s="6"/>
      <c r="C404" s="8"/>
    </row>
    <row r="405" spans="1:3" x14ac:dyDescent="0.2">
      <c r="A405" s="6"/>
      <c r="B405" s="6"/>
      <c r="C405" s="8"/>
    </row>
    <row r="406" spans="1:3" x14ac:dyDescent="0.2">
      <c r="A406" s="6" t="s">
        <v>112</v>
      </c>
      <c r="B406" s="6">
        <v>0</v>
      </c>
      <c r="C406" s="8">
        <v>77</v>
      </c>
    </row>
    <row r="407" spans="1:3" x14ac:dyDescent="0.2">
      <c r="A407" s="6"/>
      <c r="B407" s="6"/>
      <c r="C407" s="8"/>
    </row>
    <row r="408" spans="1:3" x14ac:dyDescent="0.2">
      <c r="A408" s="6"/>
      <c r="B408" s="6"/>
      <c r="C408" s="8"/>
    </row>
    <row r="409" spans="1:3" x14ac:dyDescent="0.2">
      <c r="A409" s="6" t="s">
        <v>52</v>
      </c>
      <c r="B409" s="9">
        <v>0.23</v>
      </c>
      <c r="C409" s="9">
        <v>13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0.42</v>
      </c>
      <c r="C413" s="9">
        <v>7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0.78</v>
      </c>
      <c r="C416" s="9">
        <v>27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8">
        <v>42</v>
      </c>
    </row>
    <row r="420" spans="1:3" x14ac:dyDescent="0.2">
      <c r="A420" s="6"/>
      <c r="B420" s="6"/>
      <c r="C420" s="8"/>
    </row>
    <row r="421" spans="1:3" x14ac:dyDescent="0.2">
      <c r="A421" s="6"/>
      <c r="B421" s="6"/>
      <c r="C421" s="8"/>
    </row>
    <row r="422" spans="1:3" x14ac:dyDescent="0.2">
      <c r="A422" s="6" t="s">
        <v>114</v>
      </c>
      <c r="B422" s="6">
        <v>0</v>
      </c>
      <c r="C422" s="8">
        <v>59</v>
      </c>
    </row>
    <row r="423" spans="1:3" x14ac:dyDescent="0.2">
      <c r="A423" s="6"/>
      <c r="B423" s="6"/>
      <c r="C423" s="8"/>
    </row>
    <row r="424" spans="1:3" x14ac:dyDescent="0.2">
      <c r="A424" s="6"/>
      <c r="B424" s="6"/>
      <c r="C424" s="8"/>
    </row>
    <row r="425" spans="1:3" x14ac:dyDescent="0.2">
      <c r="A425" s="6" t="s">
        <v>115</v>
      </c>
      <c r="B425" s="6">
        <v>0</v>
      </c>
      <c r="C425" s="8">
        <v>51</v>
      </c>
    </row>
    <row r="426" spans="1:3" x14ac:dyDescent="0.2">
      <c r="A426" s="6"/>
      <c r="B426" s="6"/>
      <c r="C426" s="8"/>
    </row>
    <row r="427" spans="1:3" x14ac:dyDescent="0.2">
      <c r="A427" s="6"/>
      <c r="B427" s="6"/>
      <c r="C427" s="8"/>
    </row>
    <row r="428" spans="1:3" x14ac:dyDescent="0.2">
      <c r="A428" s="6" t="s">
        <v>116</v>
      </c>
      <c r="B428" s="6">
        <v>4.9400000000000004</v>
      </c>
      <c r="C428" s="8">
        <v>17</v>
      </c>
    </row>
    <row r="429" spans="1:3" x14ac:dyDescent="0.2">
      <c r="A429" s="6"/>
      <c r="B429" s="6"/>
      <c r="C429" s="8"/>
    </row>
    <row r="430" spans="1:3" x14ac:dyDescent="0.2">
      <c r="A430" s="6"/>
      <c r="B430" s="6"/>
      <c r="C430" s="8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1.38</v>
      </c>
      <c r="C432" s="8">
        <v>75</v>
      </c>
    </row>
    <row r="433" spans="1:3" x14ac:dyDescent="0.2">
      <c r="A433" s="6"/>
      <c r="B433" s="6"/>
      <c r="C433" s="8"/>
    </row>
    <row r="434" spans="1:3" x14ac:dyDescent="0.2">
      <c r="A434" s="6"/>
      <c r="B434" s="6"/>
      <c r="C434" s="8"/>
    </row>
    <row r="435" spans="1:3" x14ac:dyDescent="0.2">
      <c r="A435" s="6" t="s">
        <v>118</v>
      </c>
      <c r="B435" s="6">
        <v>1.52</v>
      </c>
      <c r="C435" s="8">
        <v>24</v>
      </c>
    </row>
    <row r="436" spans="1:3" x14ac:dyDescent="0.2">
      <c r="A436" s="6"/>
      <c r="B436" s="6"/>
      <c r="C436" s="8"/>
    </row>
    <row r="437" spans="1:3" x14ac:dyDescent="0.2">
      <c r="A437" s="6"/>
      <c r="B437" s="6"/>
      <c r="C437" s="8"/>
    </row>
    <row r="438" spans="1:3" x14ac:dyDescent="0.2">
      <c r="A438" s="6" t="s">
        <v>119</v>
      </c>
      <c r="B438" s="7">
        <v>0.47599999999999998</v>
      </c>
      <c r="C438" s="8">
        <v>54</v>
      </c>
    </row>
    <row r="439" spans="1:3" x14ac:dyDescent="0.2">
      <c r="A439" s="6"/>
      <c r="B439" s="7"/>
      <c r="C439" s="8"/>
    </row>
    <row r="440" spans="1:3" x14ac:dyDescent="0.2">
      <c r="A440" s="6"/>
      <c r="B440" s="7"/>
      <c r="C440" s="8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FINAL</vt:lpstr>
      <vt:lpstr>Sheet 1</vt:lpstr>
      <vt:lpstr>Marshall Munetsi</vt:lpstr>
      <vt:lpstr>João Gomes</vt:lpstr>
      <vt:lpstr>Jean-Ricner Bellegarde</vt:lpstr>
      <vt:lpstr>André</vt:lpstr>
      <vt:lpstr>Ladislav Krejčí</vt:lpstr>
      <vt:lpstr>Tommy Doyle</vt:lpstr>
      <vt:lpstr>Mario Lemina</vt:lpstr>
      <vt:lpstr>Matheus Nunes</vt:lpstr>
      <vt:lpstr>João Moutinho</vt:lpstr>
      <vt:lpstr>Rúben Neves</vt:lpstr>
      <vt:lpstr>Boubacar Traoré</vt:lpstr>
      <vt:lpstr>Leander Dendoncker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2025-11-10T00:42:15Z</dcterms:modified>
</cp:coreProperties>
</file>